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ctrlProps/ctrlProps11.xml" ContentType="application/vnd.ms-excel.controlproperties+xml"/>
  <Override PartName="/xl/ctrlProps/ctrlProps3.xml" ContentType="application/vnd.ms-excel.controlproperties+xml"/>
  <Override PartName="/xl/ctrlProps/ctrlProps12.xml" ContentType="application/vnd.ms-excel.controlproperties+xml"/>
  <Override PartName="/xl/ctrlProps/ctrlProps4.xml" ContentType="application/vnd.ms-excel.controlproperties+xml"/>
  <Override PartName="/xl/ctrlProps/ctrlProps6.xml" ContentType="application/vnd.ms-excel.controlproperties+xml"/>
  <Override PartName="/xl/ctrlProps/ctrlProps15.xml" ContentType="application/vnd.ms-excel.controlproperties+xml"/>
  <Override PartName="/xl/ctrlProps/ctrlProps7.xml" ContentType="application/vnd.ms-excel.controlproperties+xml"/>
  <Override PartName="/xl/ctrlProps/ctrlProps16.xml" ContentType="application/vnd.ms-excel.controlproperties+xml"/>
  <Override PartName="/xl/ctrlProps/ctrlProps8.xml" ContentType="application/vnd.ms-excel.controlproperties+xml"/>
  <Override PartName="/xl/ctrlProps/ctrlProps10.xml" ContentType="application/vnd.ms-excel.controlproperties+xml"/>
  <Override PartName="/xl/ctrlProps/ctrlProps14.xml" ContentType="application/vnd.ms-excel.controlpropertie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drawings/drawing17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vmlDrawing4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iPa - Order Guide" sheetId="1" state="visible" r:id="rId4"/>
    <sheet name="PiPa - EDT Order Guide" sheetId="2" state="visible" r:id="rId5"/>
    <sheet name="Pronto - Order Guide" sheetId="3" state="visible" r:id="rId6"/>
    <sheet name="Pronto - EDT Order Guide" sheetId="4" state="visible" r:id="rId7"/>
    <sheet name="PiPa - Recipe Control" sheetId="5" state="visible" r:id="rId8"/>
    <sheet name="PiPa - EDT Control" sheetId="6" state="visible" r:id="rId9"/>
    <sheet name="Pronto - Recipe Control" sheetId="7" state="visible" r:id="rId10"/>
    <sheet name="Pronto - EDT Control" sheetId="8" state="visible" r:id="rId11"/>
    <sheet name="Product Master" sheetId="9" state="visible" r:id="rId12"/>
  </sheets>
  <definedNames>
    <definedName function="false" hidden="true" localSheetId="8" name="_xlnm._FilterDatabase" vbProcedure="false">'Product Master'!$A$3:$I$3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<sst xmlns="http://schemas.openxmlformats.org/spreadsheetml/2006/main" count="5837" uniqueCount="1008">
  <si>
    <t xml:space="preserve">EATALY KOP  —  PIZZA PASTA  |  Order Guide</t>
  </si>
  <si>
    <t xml:space="preserve">  Active recipes only  |  Toggle in PiPa - Recipe Control  |  Refresh after changes</t>
  </si>
  <si>
    <t xml:space="preserve">VENDOR</t>
  </si>
  <si>
    <t xml:space="preserve">D365 ID</t>
  </si>
  <si>
    <t xml:space="preserve">ITEM NAME</t>
  </si>
  <si>
    <t xml:space="preserve">CASE</t>
  </si>
  <si>
    <t xml:space="preserve">CATEGORY</t>
  </si>
  <si>
    <t xml:space="preserve">PAR</t>
  </si>
  <si>
    <t xml:space="preserve">BALDOR</t>
  </si>
  <si>
    <t xml:space="preserve">⏰ 10:00 PM  paweborders@baldorfood.com</t>
  </si>
  <si>
    <t xml:space="preserve">Lead: 5 days</t>
  </si>
  <si>
    <t xml:space="preserve">__VENDOR__</t>
  </si>
  <si>
    <t xml:space="preserve">  Dry Goods &amp; Pantry</t>
  </si>
  <si>
    <t xml:space="preserve">__CAT__</t>
  </si>
  <si>
    <t xml:space="preserve">1159414</t>
  </si>
  <si>
    <t xml:space="preserve">_____|_____</t>
  </si>
  <si>
    <t xml:space="preserve">2065477</t>
  </si>
  <si>
    <t xml:space="preserve">102695</t>
  </si>
  <si>
    <t xml:space="preserve">2028693|2028995|2043863|2045455|2050168|2055235|2059267|2059550|2061710|2062686|2064824|2065444|2065445|2065446|2065451|2065452|2065453|2065454|2065455|2065456|2065458|2065464|2065477|2065478</t>
  </si>
  <si>
    <t xml:space="preserve">  Other</t>
  </si>
  <si>
    <t xml:space="preserve">101912</t>
  </si>
  <si>
    <t xml:space="preserve">2059262|2059265|2065455|2065478</t>
  </si>
  <si>
    <t xml:space="preserve">1166374</t>
  </si>
  <si>
    <t xml:space="preserve">2045455|2055304|2064824|2065446|2065451</t>
  </si>
  <si>
    <t xml:space="preserve">  Produce - Herbs</t>
  </si>
  <si>
    <t xml:space="preserve">101537</t>
  </si>
  <si>
    <t xml:space="preserve">2061710</t>
  </si>
  <si>
    <t xml:space="preserve">1100583</t>
  </si>
  <si>
    <t xml:space="preserve">2065451</t>
  </si>
  <si>
    <t xml:space="preserve">101549</t>
  </si>
  <si>
    <t xml:space="preserve">2043863|2061710|2064824</t>
  </si>
  <si>
    <t xml:space="preserve">  Produce - Veg &amp; Fruit</t>
  </si>
  <si>
    <t xml:space="preserve">101907</t>
  </si>
  <si>
    <t xml:space="preserve">2057716|2065453</t>
  </si>
  <si>
    <t xml:space="preserve">101910</t>
  </si>
  <si>
    <t xml:space="preserve">2059189|2059576|2065457|2065477</t>
  </si>
  <si>
    <t xml:space="preserve">101933</t>
  </si>
  <si>
    <t xml:space="preserve">2056311</t>
  </si>
  <si>
    <t xml:space="preserve">102339</t>
  </si>
  <si>
    <t xml:space="preserve">2017562|2043863</t>
  </si>
  <si>
    <t xml:space="preserve">101971</t>
  </si>
  <si>
    <t xml:space="preserve">1162415</t>
  </si>
  <si>
    <t xml:space="preserve">2045455|2064824|2065446|2065451</t>
  </si>
  <si>
    <t xml:space="preserve">101986</t>
  </si>
  <si>
    <t xml:space="preserve">2065463</t>
  </si>
  <si>
    <t xml:space="preserve">1100202</t>
  </si>
  <si>
    <t xml:space="preserve">2065457</t>
  </si>
  <si>
    <t xml:space="preserve">102015</t>
  </si>
  <si>
    <t xml:space="preserve">2055304</t>
  </si>
  <si>
    <t xml:space="preserve">102017</t>
  </si>
  <si>
    <t xml:space="preserve">2045455|2056311|2064824|2065446|2065451</t>
  </si>
  <si>
    <t xml:space="preserve">102031</t>
  </si>
  <si>
    <t xml:space="preserve">2024691|2043299|2045455|2050168|2055235|2056311|2059501|2062686|2064824|2065445|2065460|2065464</t>
  </si>
  <si>
    <t xml:space="preserve">102041</t>
  </si>
  <si>
    <t xml:space="preserve">2060305</t>
  </si>
  <si>
    <t xml:space="preserve">102068</t>
  </si>
  <si>
    <t xml:space="preserve">2003051|2024691|2029952|2043299|2050168|2055235|2055304|2056311|2059189|2059262|2059265|2059267|2059289|2059576|2062686|2065445|2065456|2065457|2065463|2065464|2065465|2065478</t>
  </si>
  <si>
    <t xml:space="preserve">102082</t>
  </si>
  <si>
    <t xml:space="preserve">2055304|2065477</t>
  </si>
  <si>
    <t xml:space="preserve">102086</t>
  </si>
  <si>
    <t xml:space="preserve">2050168|2056311</t>
  </si>
  <si>
    <t xml:space="preserve">102273</t>
  </si>
  <si>
    <t xml:space="preserve">2065464</t>
  </si>
  <si>
    <t xml:space="preserve">102098</t>
  </si>
  <si>
    <t xml:space="preserve">2059262|2059265|2059267|2065457|2065458|2065464|2065477</t>
  </si>
  <si>
    <t xml:space="preserve">102139</t>
  </si>
  <si>
    <t xml:space="preserve">2045455|2059501|2064824|2065446|2065451|2065464</t>
  </si>
  <si>
    <t xml:space="preserve">102388</t>
  </si>
  <si>
    <t xml:space="preserve">102145</t>
  </si>
  <si>
    <t xml:space="preserve">102153</t>
  </si>
  <si>
    <t xml:space="preserve">2055235|2056311|2057718|2064824|2065445</t>
  </si>
  <si>
    <t xml:space="preserve">102390</t>
  </si>
  <si>
    <t xml:space="preserve">2065465</t>
  </si>
  <si>
    <t xml:space="preserve">102156</t>
  </si>
  <si>
    <t xml:space="preserve">2045455|2055235|2056311|2057718|2061710|2062686|2064824|2065445|2065446|2065451|2065460</t>
  </si>
  <si>
    <t xml:space="preserve">1164563</t>
  </si>
  <si>
    <t xml:space="preserve">2065460</t>
  </si>
  <si>
    <t xml:space="preserve">102206</t>
  </si>
  <si>
    <t xml:space="preserve">2055235|2059289|2065463</t>
  </si>
  <si>
    <t xml:space="preserve">102209</t>
  </si>
  <si>
    <t xml:space="preserve">2065458</t>
  </si>
  <si>
    <t xml:space="preserve">102216</t>
  </si>
  <si>
    <t xml:space="preserve">2060305|2065457|2065477</t>
  </si>
  <si>
    <t xml:space="preserve">102230</t>
  </si>
  <si>
    <t xml:space="preserve">102237</t>
  </si>
  <si>
    <t xml:space="preserve">2055235|2059289|2060352|2065445|2065463</t>
  </si>
  <si>
    <t xml:space="preserve">102239</t>
  </si>
  <si>
    <t xml:space="preserve">2055235|2059289|2060305|2060352|2065464</t>
  </si>
  <si>
    <t xml:space="preserve">102264</t>
  </si>
  <si>
    <t xml:space="preserve">2043299|2065477</t>
  </si>
  <si>
    <t xml:space="preserve">102274</t>
  </si>
  <si>
    <t xml:space="preserve">2055235|2059289|2064824|2065446|2065451|2065463</t>
  </si>
  <si>
    <t xml:space="preserve">102281</t>
  </si>
  <si>
    <t xml:space="preserve">2045455</t>
  </si>
  <si>
    <t xml:space="preserve">102287</t>
  </si>
  <si>
    <t xml:space="preserve">2055234|2059576</t>
  </si>
  <si>
    <t xml:space="preserve">102299</t>
  </si>
  <si>
    <t xml:space="preserve">2055234|2062686</t>
  </si>
  <si>
    <t xml:space="preserve">ATALANTA</t>
  </si>
  <si>
    <t xml:space="preserve">⏰ 11:00 AM  bfeigenbutz@atalanta.com</t>
  </si>
  <si>
    <t xml:space="preserve">Lead: 11 days ⚠</t>
  </si>
  <si>
    <t xml:space="preserve">  Dairy &amp; Eggs</t>
  </si>
  <si>
    <t xml:space="preserve">1108713</t>
  </si>
  <si>
    <t xml:space="preserve">506809</t>
  </si>
  <si>
    <t xml:space="preserve">2017562|2043863|2059189|2059576|2061710|2065449|2065451|2065457|2065458|2065460|2065464|2065477</t>
  </si>
  <si>
    <t xml:space="preserve">508968</t>
  </si>
  <si>
    <t xml:space="preserve">2059301</t>
  </si>
  <si>
    <t xml:space="preserve">502869</t>
  </si>
  <si>
    <t xml:space="preserve">1109681</t>
  </si>
  <si>
    <t xml:space="preserve">2059267|2065444|2065445|2065457</t>
  </si>
  <si>
    <t xml:space="preserve">102126</t>
  </si>
  <si>
    <t xml:space="preserve">2060997</t>
  </si>
  <si>
    <t xml:space="preserve">102374</t>
  </si>
  <si>
    <t xml:space="preserve">102128</t>
  </si>
  <si>
    <t xml:space="preserve">101847</t>
  </si>
  <si>
    <t xml:space="preserve">2062686</t>
  </si>
  <si>
    <t xml:space="preserve">518387</t>
  </si>
  <si>
    <t xml:space="preserve">1140357</t>
  </si>
  <si>
    <t xml:space="preserve">2028693|2052716|2059265|2065444|2065449|2065451|2065452|2065453|2065454|2065455|2065456</t>
  </si>
  <si>
    <t xml:space="preserve">1117888</t>
  </si>
  <si>
    <t xml:space="preserve">PRIME FOODS</t>
  </si>
  <si>
    <t xml:space="preserve">⏰ 5:00 PM  juanh@primefoodsny.com</t>
  </si>
  <si>
    <t xml:space="preserve">  Proteins - Meat</t>
  </si>
  <si>
    <t xml:space="preserve">1157630</t>
  </si>
  <si>
    <t xml:space="preserve">2017562|2043863|2061710</t>
  </si>
  <si>
    <t xml:space="preserve">1157614</t>
  </si>
  <si>
    <t xml:space="preserve">1148214</t>
  </si>
  <si>
    <t xml:space="preserve">2055235</t>
  </si>
  <si>
    <t xml:space="preserve">PRIME LINE</t>
  </si>
  <si>
    <t xml:space="preserve">⏰ 5:00 PM  jennifersanchez@primelinedist.com</t>
  </si>
  <si>
    <t xml:space="preserve">1103204</t>
  </si>
  <si>
    <t xml:space="preserve">2055234|2056068|2065447|2065451</t>
  </si>
  <si>
    <t xml:space="preserve">LA FRIEDA</t>
  </si>
  <si>
    <t xml:space="preserve">⏰ 8:00 PM  jack@lafrieda.com</t>
  </si>
  <si>
    <t xml:space="preserve">101765</t>
  </si>
  <si>
    <t xml:space="preserve">1134558</t>
  </si>
  <si>
    <t xml:space="preserve">SAMUEL &amp; SONS</t>
  </si>
  <si>
    <t xml:space="preserve">⏰ 12:00 AM  orders@samuelsseafood.com</t>
  </si>
  <si>
    <t xml:space="preserve">  Proteins - Seafood</t>
  </si>
  <si>
    <t xml:space="preserve">102474</t>
  </si>
  <si>
    <t xml:space="preserve">102599</t>
  </si>
  <si>
    <t xml:space="preserve">102609</t>
  </si>
  <si>
    <t xml:space="preserve">JOHN NAGLE</t>
  </si>
  <si>
    <t xml:space="preserve">⏰ 11:00 AM  eataly@johnnagle.com</t>
  </si>
  <si>
    <t xml:space="preserve">1123330</t>
  </si>
  <si>
    <t xml:space="preserve">1115487</t>
  </si>
  <si>
    <t xml:space="preserve">1134084</t>
  </si>
  <si>
    <t xml:space="preserve">2045455|2065456</t>
  </si>
  <si>
    <t xml:space="preserve">URBANI TRUFFLE</t>
  </si>
  <si>
    <t xml:space="preserve">denise@urbani.com</t>
  </si>
  <si>
    <t xml:space="preserve">1106963</t>
  </si>
  <si>
    <t xml:space="preserve">CATSMO</t>
  </si>
  <si>
    <t xml:space="preserve">1119727</t>
  </si>
  <si>
    <t xml:space="preserve">2065453</t>
  </si>
  <si>
    <t xml:space="preserve">GOURMET FOODS INT</t>
  </si>
  <si>
    <t xml:space="preserve">⏰ 3:00 PM  jmcdowell@gfifoods.com</t>
  </si>
  <si>
    <t xml:space="preserve">508033</t>
  </si>
  <si>
    <t xml:space="preserve">2065446|2065451</t>
  </si>
  <si>
    <t xml:space="preserve">1162107</t>
  </si>
  <si>
    <t xml:space="preserve">2028693|2028995|2050168|2056311|2059265|2059267|2059550|2065444|2065446|2065447|2065449|2065451|2065452|2065453|2065454|2065455|2065456|2065464|2065477</t>
  </si>
  <si>
    <t xml:space="preserve">1162794</t>
  </si>
  <si>
    <t xml:space="preserve">2059265|2060305|2061710|2065451|2065465|2065478</t>
  </si>
  <si>
    <t xml:space="preserve">1162792</t>
  </si>
  <si>
    <t xml:space="preserve">1162795</t>
  </si>
  <si>
    <t xml:space="preserve">2057718|2059265|2060305|2061710|2064824|2065445|2065451|2065458|2065460|2065465|2065478</t>
  </si>
  <si>
    <t xml:space="preserve">1155942</t>
  </si>
  <si>
    <t xml:space="preserve">2017562|2028995|2043863|2059301|2061710|2064824|2065452|2065453|2065454|2065455|2065456|2065464</t>
  </si>
  <si>
    <t xml:space="preserve">1164698</t>
  </si>
  <si>
    <t xml:space="preserve">2003051|2024691|2043299|2043342|2043863|2045201|2045455|2046253|2055234|2055235|2055304|2056068|2056311|2057718|2059189|2059262|2059265|2059289|2059501|2059576|2060305|2060352|2061710|2062686|2064824|2065445|2065446|2065447|2065449|2065451|2065457|2065458|2065460|2065463|2065464|2065465|2065477|2065478</t>
  </si>
  <si>
    <t xml:space="preserve">1130393</t>
  </si>
  <si>
    <t xml:space="preserve">1123475</t>
  </si>
  <si>
    <t xml:space="preserve">2017562|2043863|2060997</t>
  </si>
  <si>
    <t xml:space="preserve">1145895</t>
  </si>
  <si>
    <t xml:space="preserve">CHEFS WAREHOUSE</t>
  </si>
  <si>
    <t xml:space="preserve">⏰ 6:00 PM  alivaccari@chefswarehouse.com</t>
  </si>
  <si>
    <t xml:space="preserve">1155000</t>
  </si>
  <si>
    <t xml:space="preserve">1164663</t>
  </si>
  <si>
    <t xml:space="preserve">2043863|2059301|2065446|2065447|2065451|2065464|2065477|2065478</t>
  </si>
  <si>
    <t xml:space="preserve">506096</t>
  </si>
  <si>
    <t xml:space="preserve">2045201|2059265|2060305|2061710|2065478</t>
  </si>
  <si>
    <t xml:space="preserve">1155947</t>
  </si>
  <si>
    <t xml:space="preserve">102334</t>
  </si>
  <si>
    <t xml:space="preserve">2050168</t>
  </si>
  <si>
    <t xml:space="preserve">101555</t>
  </si>
  <si>
    <t xml:space="preserve">2028995|2043299|2043342|2059267|2059301|2059550</t>
  </si>
  <si>
    <t xml:space="preserve">1103132</t>
  </si>
  <si>
    <t xml:space="preserve">2043863|2059189|2065446|2065447|2065449|2065451</t>
  </si>
  <si>
    <t xml:space="preserve">103706</t>
  </si>
  <si>
    <t xml:space="preserve">2043299|2043342</t>
  </si>
  <si>
    <t xml:space="preserve">101528</t>
  </si>
  <si>
    <t xml:space="preserve">2055234|2056068|2065458</t>
  </si>
  <si>
    <t xml:space="preserve">101515</t>
  </si>
  <si>
    <t xml:space="preserve">2029952|2059189|2059289|2065463</t>
  </si>
  <si>
    <t xml:space="preserve">102685</t>
  </si>
  <si>
    <t xml:space="preserve">101517</t>
  </si>
  <si>
    <t xml:space="preserve">101839</t>
  </si>
  <si>
    <t xml:space="preserve">2024691|2043299|2050168|2065445</t>
  </si>
  <si>
    <t xml:space="preserve">1164626</t>
  </si>
  <si>
    <t xml:space="preserve">2055235|2059262|2059265|2059289|2059501|2060352|2065446|2065464</t>
  </si>
  <si>
    <t xml:space="preserve">102696</t>
  </si>
  <si>
    <t xml:space="preserve">101561</t>
  </si>
  <si>
    <t xml:space="preserve">102714</t>
  </si>
  <si>
    <t xml:space="preserve">2050168|2055235|2059189|2065445|2065447|2065451|2065463|2065465</t>
  </si>
  <si>
    <t xml:space="preserve">1157705</t>
  </si>
  <si>
    <t xml:space="preserve">2046253|2055304</t>
  </si>
  <si>
    <t xml:space="preserve">105051</t>
  </si>
  <si>
    <t xml:space="preserve">2057718|2059265|2060305|2061710|2064824|2065445|2065451|2065458|2065465|2065478</t>
  </si>
  <si>
    <t xml:space="preserve">101466</t>
  </si>
  <si>
    <t xml:space="preserve">2050168|2059189|2065446|2065447|2065449|2065451</t>
  </si>
  <si>
    <t xml:space="preserve">101509</t>
  </si>
  <si>
    <t xml:space="preserve">104062</t>
  </si>
  <si>
    <t xml:space="preserve">2017562|2028693|2028995|2043863|2059301|2065444|2065452|2065453|2065454|2065455|2065456|2065464</t>
  </si>
  <si>
    <t xml:space="preserve">102318</t>
  </si>
  <si>
    <t xml:space="preserve">2059262|2059265|2059501|2065458|2065464|2065477</t>
  </si>
  <si>
    <t xml:space="preserve">101608</t>
  </si>
  <si>
    <t xml:space="preserve">2043299|2043342|2060305</t>
  </si>
  <si>
    <t xml:space="preserve">1112271</t>
  </si>
  <si>
    <t xml:space="preserve">2060305|2065446|2065447|2065449|2065451</t>
  </si>
  <si>
    <t xml:space="preserve">1117285</t>
  </si>
  <si>
    <t xml:space="preserve">2024691|2028693|2043299|2050168|2065444|2065445|2065452|2065453|2065454|2065455|2065456|2065478</t>
  </si>
  <si>
    <t xml:space="preserve">1137797</t>
  </si>
  <si>
    <t xml:space="preserve">2017562|2028995|2043863|2059189|2059301|2065446|2065447|2065449|2065451|2065464|2065477</t>
  </si>
  <si>
    <t xml:space="preserve">1158639</t>
  </si>
  <si>
    <t xml:space="preserve">1158813</t>
  </si>
  <si>
    <t xml:space="preserve">102336</t>
  </si>
  <si>
    <t xml:space="preserve">2029952|2055235|2059189|2059289|2062686|2065463</t>
  </si>
  <si>
    <t xml:space="preserve">1158652</t>
  </si>
  <si>
    <t xml:space="preserve">1158657</t>
  </si>
  <si>
    <t xml:space="preserve">1137973</t>
  </si>
  <si>
    <t xml:space="preserve">2059189</t>
  </si>
  <si>
    <t xml:space="preserve">1136280</t>
  </si>
  <si>
    <t xml:space="preserve">2043299</t>
  </si>
  <si>
    <t xml:space="preserve">BETA IMPORTS</t>
  </si>
  <si>
    <t xml:space="preserve">⏰ 6:00 PM  waldy.acosta@eataly.com</t>
  </si>
  <si>
    <t xml:space="preserve">1162226</t>
  </si>
  <si>
    <t xml:space="preserve">2050168|2055235|2065465</t>
  </si>
  <si>
    <t xml:space="preserve">510805</t>
  </si>
  <si>
    <t xml:space="preserve">1134497</t>
  </si>
  <si>
    <t xml:space="preserve">515509</t>
  </si>
  <si>
    <t xml:space="preserve">2043863|2045455|2061710|2062686|2065447|2065449|2065451|2065460</t>
  </si>
  <si>
    <t xml:space="preserve">  Pasta &amp; Grains</t>
  </si>
  <si>
    <t xml:space="preserve">1157896</t>
  </si>
  <si>
    <t xml:space="preserve">2065446|2065447|2065449|2065451</t>
  </si>
  <si>
    <t xml:space="preserve">NO VENDOR</t>
  </si>
  <si>
    <t xml:space="preserve">Validate vendor — needs D365 assignment</t>
  </si>
  <si>
    <t xml:space="preserve">101524</t>
  </si>
  <si>
    <t xml:space="preserve">101841</t>
  </si>
  <si>
    <t xml:space="preserve">102701</t>
  </si>
  <si>
    <t xml:space="preserve">2045455|2050168|2054572|2055235|2056311|2060305|2064824|2065460</t>
  </si>
  <si>
    <t xml:space="preserve">1123450</t>
  </si>
  <si>
    <t xml:space="preserve">1108233</t>
  </si>
  <si>
    <t xml:space="preserve">2065454</t>
  </si>
  <si>
    <t xml:space="preserve">1134168</t>
  </si>
  <si>
    <t xml:space="preserve">1100705</t>
  </si>
  <si>
    <t xml:space="preserve">2057718|2061710|2064824|2065445|2065458</t>
  </si>
  <si>
    <t xml:space="preserve">1104551</t>
  </si>
  <si>
    <t xml:space="preserve">102100</t>
  </si>
  <si>
    <t xml:space="preserve">102121</t>
  </si>
  <si>
    <t xml:space="preserve">1133893</t>
  </si>
  <si>
    <t xml:space="preserve">2003051|2017562|2043863|2045201|2045455|2046253|2050168|2055234|2055235|2055304|2056068|2056311|2057718|2059189|2059262|2059265|2059501|2059576|2060305|2061006|2061710|2062686|2064824|2065445|2065446|2065447|2065449|2065451|2065452|2065453|2065455|2065456|2065457|2065458|2065460|2065463|2065464|2065465|2065477|2065478</t>
  </si>
  <si>
    <t xml:space="preserve">510455</t>
  </si>
  <si>
    <t xml:space="preserve">2056068</t>
  </si>
  <si>
    <t xml:space="preserve">1137040</t>
  </si>
  <si>
    <t xml:space="preserve">2065449|2065451</t>
  </si>
  <si>
    <t xml:space="preserve">102387</t>
  </si>
  <si>
    <t xml:space="preserve">2065446|2065447|2065451</t>
  </si>
  <si>
    <t xml:space="preserve">1134169</t>
  </si>
  <si>
    <t xml:space="preserve">2065478</t>
  </si>
  <si>
    <t xml:space="preserve">512072</t>
  </si>
  <si>
    <t xml:space="preserve">512071</t>
  </si>
  <si>
    <t xml:space="preserve">2056068|2061006</t>
  </si>
  <si>
    <t xml:space="preserve">1132484</t>
  </si>
  <si>
    <t xml:space="preserve">900118</t>
  </si>
  <si>
    <t xml:space="preserve">1169364</t>
  </si>
  <si>
    <t xml:space="preserve">2055234</t>
  </si>
  <si>
    <t xml:space="preserve">1103755</t>
  </si>
  <si>
    <t xml:space="preserve">101535</t>
  </si>
  <si>
    <t xml:space="preserve">2024691|2043299|2065445</t>
  </si>
  <si>
    <t xml:space="preserve">101917</t>
  </si>
  <si>
    <t xml:space="preserve">2043863|2045455|2055234|2056068|2056311|2059501|2061006|2061710|2062686|2065447|2065449|2065451|2065460|2065464</t>
  </si>
  <si>
    <t xml:space="preserve">101921</t>
  </si>
  <si>
    <t xml:space="preserve">2017562|2043863|2064824|2065446|2065451</t>
  </si>
  <si>
    <t xml:space="preserve">101967</t>
  </si>
  <si>
    <t xml:space="preserve">2059262|2059265</t>
  </si>
  <si>
    <t xml:space="preserve">1100002</t>
  </si>
  <si>
    <t xml:space="preserve">2028995|2043299|2043342|2043863|2045455|2055234|2055235|2056068|2057718|2059262|2059265|2059267|2059289|2059301|2059501|2059550|2060305|2061006|2061710|2064824|2065445|2065446|2065447|2065449|2065451|2065452|2065453|2065454|2065455|2065456|2065458|2065463|2065464|2065465|2065477|2065478</t>
  </si>
  <si>
    <t xml:space="preserve">EATALY KOP  —  PIZZA PASTA  |  EDT Procurement</t>
  </si>
  <si>
    <t xml:space="preserve">  ENA/EDT items for PiPa  |  Toggle in PiPa - EDT Control  |  Lead: 7 days  |  Order 2 days ahead</t>
  </si>
  <si>
    <t xml:space="preserve">SUB-VENDOR</t>
  </si>
  <si>
    <t xml:space="preserve">EDT - BAKERY  |  ⏰ 11:00 AM  |  dt-bakery@eataly.com  |  Lead: 7 days</t>
  </si>
  <si>
    <t xml:space="preserve">EDT - BAKERY</t>
  </si>
  <si>
    <t xml:space="preserve">2010400</t>
  </si>
  <si>
    <t xml:space="preserve">ENA BAKERY - BRIOCHE PULLMAN</t>
  </si>
  <si>
    <t xml:space="preserve">CA1EA</t>
  </si>
  <si>
    <t xml:space="preserve">2026355</t>
  </si>
  <si>
    <t xml:space="preserve">ENA BAKERY - FOCACCIA TRAMEZZINI</t>
  </si>
  <si>
    <t xml:space="preserve">2022535</t>
  </si>
  <si>
    <t xml:space="preserve">ENA BAKERY - OTTO TONDO SMALL</t>
  </si>
  <si>
    <t xml:space="preserve">2023975</t>
  </si>
  <si>
    <t xml:space="preserve">ENA BAKERY - RUSTIC CLASSIC 1 KILO (MM+WH)</t>
  </si>
  <si>
    <t xml:space="preserve">EDT - CENTRAL KITCHEN  |  ⏰ 11:00 AM  |  dt-production@eataly.com  |  Lead: 7 days</t>
  </si>
  <si>
    <t xml:space="preserve">EDT - CENTRAL KITCHEN</t>
  </si>
  <si>
    <t xml:space="preserve">2057747</t>
  </si>
  <si>
    <t xml:space="preserve">BEEF AND PORK MEATBALLS</t>
  </si>
  <si>
    <t xml:space="preserve">2056379</t>
  </si>
  <si>
    <t xml:space="preserve">ENA - CK - BATCH - LASAGNA EMILIA (FULL TRAY)</t>
  </si>
  <si>
    <t xml:space="preserve">2057759</t>
  </si>
  <si>
    <t xml:space="preserve">ENA - CK - BLUE PAIL 10KG - BECHAMEL</t>
  </si>
  <si>
    <t xml:space="preserve">2057754</t>
  </si>
  <si>
    <t xml:space="preserve">ENA - CK - BLUE PAIL 10KG - PESTO GENOVESE</t>
  </si>
  <si>
    <t xml:space="preserve">2057756</t>
  </si>
  <si>
    <t xml:space="preserve">ENA - CK - BLUE PAIL 10KG - RAGU BOLOGNESE</t>
  </si>
  <si>
    <t xml:space="preserve">2057734</t>
  </si>
  <si>
    <t xml:space="preserve">ENA - CK - BLUE PAIL 10KG - SUGO DI MARE</t>
  </si>
  <si>
    <t xml:space="preserve">2057757</t>
  </si>
  <si>
    <t xml:space="preserve">ENA - CK - BLUE PAIL 10KG - TOMATO SAUCE</t>
  </si>
  <si>
    <t xml:space="preserve">2040575</t>
  </si>
  <si>
    <t xml:space="preserve">ENA - CK - Beef Stock</t>
  </si>
  <si>
    <t xml:space="preserve">00701736</t>
  </si>
  <si>
    <t xml:space="preserve">ENA - CK - Minestra</t>
  </si>
  <si>
    <t xml:space="preserve">2057429</t>
  </si>
  <si>
    <t xml:space="preserve">ENA - CK - Mushroom Ragu</t>
  </si>
  <si>
    <t xml:space="preserve">00683018</t>
  </si>
  <si>
    <t xml:space="preserve">ENA - CK - RED PAIL 5KG - APRICOT MOSTARDA</t>
  </si>
  <si>
    <t xml:space="preserve">2057740</t>
  </si>
  <si>
    <t xml:space="preserve">ENA - CK - RED PAIL 5KG - CACIO E PEPE</t>
  </si>
  <si>
    <t xml:space="preserve">2057751</t>
  </si>
  <si>
    <t xml:space="preserve">ENA - CK - RED PAIL 5KG - MARINATED OLIVE MIX</t>
  </si>
  <si>
    <t xml:space="preserve">2057736</t>
  </si>
  <si>
    <t xml:space="preserve">ENA - CK - RED PAIL 5KG - RAGU BOLOGNESE</t>
  </si>
  <si>
    <t xml:space="preserve">2057739</t>
  </si>
  <si>
    <t xml:space="preserve">ENA - CK - RED PAIL 5KG - TOMATO SAUCE</t>
  </si>
  <si>
    <t xml:space="preserve">2057743</t>
  </si>
  <si>
    <t xml:space="preserve">ENA - CK - SICILIAN CAPONATA</t>
  </si>
  <si>
    <t xml:space="preserve">693181</t>
  </si>
  <si>
    <t xml:space="preserve">ENA - CK - Spinach and Walnut Pesto</t>
  </si>
  <si>
    <t xml:space="preserve">2057750</t>
  </si>
  <si>
    <t xml:space="preserve">ENA - CK - VAC BAG 5KG - GRATED GRANA PADANO 12 MO</t>
  </si>
  <si>
    <t xml:space="preserve">2057749</t>
  </si>
  <si>
    <t xml:space="preserve">ENA - CK - VAC BAG 5KG - GRATED PECORINO ROMANO</t>
  </si>
  <si>
    <t xml:space="preserve">2059059</t>
  </si>
  <si>
    <t xml:space="preserve">ENA - CK - VAC BAG 5KG - PISTACHIO PESTO</t>
  </si>
  <si>
    <t xml:space="preserve">EDT - FRESH PASTA  |  ⏰ 11:00 AM  |  dt-production@eataly.com  |  Lead: 7 days</t>
  </si>
  <si>
    <t xml:space="preserve">EDT - FRESH PASTA</t>
  </si>
  <si>
    <t xml:space="preserve">00690175</t>
  </si>
  <si>
    <t xml:space="preserve">ENA - FRESH PASTA - EXTRUDED - SPAGHETTI ALLA CHITARRA</t>
  </si>
  <si>
    <t xml:space="preserve">2056536</t>
  </si>
  <si>
    <t xml:space="preserve">ENA - FRESH PASTA - FLAT TRAY - TAGLIATELLE (30 EA | 7.9 LB)</t>
  </si>
  <si>
    <t xml:space="preserve">2057565</t>
  </si>
  <si>
    <t xml:space="preserve">ENA - FRESH PASTA - FROZEN BOX - GNOCCHI POTATO (10 KG)</t>
  </si>
  <si>
    <t xml:space="preserve">2057536</t>
  </si>
  <si>
    <t xml:space="preserve">ENA - FRESH PASTA - Lasagna Sheets</t>
  </si>
  <si>
    <t xml:space="preserve">2050057</t>
  </si>
  <si>
    <t xml:space="preserve">ENA - FRESH PASTA - Mezzelune di Zucca</t>
  </si>
  <si>
    <t xml:space="preserve">2057427</t>
  </si>
  <si>
    <t xml:space="preserve">ENA - FRESH PASTA - Ravioli Zucca</t>
  </si>
  <si>
    <t xml:space="preserve">2056538</t>
  </si>
  <si>
    <t xml:space="preserve">ENA - FRESH PASTA - Tagliolini</t>
  </si>
  <si>
    <t xml:space="preserve">EATALY KOP  —  PRONTO  |  Order Guide</t>
  </si>
  <si>
    <t xml:space="preserve">  Active recipes only  |  Toggle in Pronto - Recipe Control  |  Refresh after changes</t>
  </si>
  <si>
    <t xml:space="preserve">2065343|2065344</t>
  </si>
  <si>
    <t xml:space="preserve">2016636|2044875|2045003|2046890|2049203|2049205|2050144|2050205|2052353|2059734|2059735|2059754|2059755|2061011|2061027|2061041|2061045|2065486|2065577|2065579</t>
  </si>
  <si>
    <t xml:space="preserve">2041664|2053005|2059754|2059755|2065486</t>
  </si>
  <si>
    <t xml:space="preserve">2050144|2061045|2065577|2065579</t>
  </si>
  <si>
    <t xml:space="preserve">102061</t>
  </si>
  <si>
    <t xml:space="preserve">2059754|2059755|2061041</t>
  </si>
  <si>
    <t xml:space="preserve">2046890|2050205</t>
  </si>
  <si>
    <t xml:space="preserve">2065376|2065377</t>
  </si>
  <si>
    <t xml:space="preserve">2016636|2046890|2050205|2059754|2059755</t>
  </si>
  <si>
    <t xml:space="preserve">2052353</t>
  </si>
  <si>
    <t xml:space="preserve">1161500</t>
  </si>
  <si>
    <t xml:space="preserve">2038291|2041664|2061012</t>
  </si>
  <si>
    <t xml:space="preserve">2045522|2045523</t>
  </si>
  <si>
    <t xml:space="preserve">101943</t>
  </si>
  <si>
    <t xml:space="preserve">2045563|2046717</t>
  </si>
  <si>
    <t xml:space="preserve">2017559|2047135|2049237|2050144|2060577|2060578|2061025|2064741</t>
  </si>
  <si>
    <t xml:space="preserve">2017559|2047135|2049237|2061025|2061041|2064741</t>
  </si>
  <si>
    <t xml:space="preserve">2039045|2039049|2061045</t>
  </si>
  <si>
    <t xml:space="preserve">2058098|2065342</t>
  </si>
  <si>
    <t xml:space="preserve">102003</t>
  </si>
  <si>
    <t xml:space="preserve">102005</t>
  </si>
  <si>
    <t xml:space="preserve">2049275|2049276</t>
  </si>
  <si>
    <t xml:space="preserve">2044875|2049203|2049205|2050144|2050167|2052353|2061011|2065324</t>
  </si>
  <si>
    <t xml:space="preserve">102051</t>
  </si>
  <si>
    <t xml:space="preserve">2061041</t>
  </si>
  <si>
    <t xml:space="preserve">2039210|2045003|2052353|2052788|2065486</t>
  </si>
  <si>
    <t xml:space="preserve">2031540|2061043|2065374|2065375</t>
  </si>
  <si>
    <t xml:space="preserve">2039045|2039049|2050144</t>
  </si>
  <si>
    <t xml:space="preserve">2050144</t>
  </si>
  <si>
    <t xml:space="preserve">2039045|2039049</t>
  </si>
  <si>
    <t xml:space="preserve">2046194</t>
  </si>
  <si>
    <t xml:space="preserve">2059734|2059735|2061043</t>
  </si>
  <si>
    <t xml:space="preserve">2045476|2059734|2059735|2061041</t>
  </si>
  <si>
    <t xml:space="preserve">2061045</t>
  </si>
  <si>
    <t xml:space="preserve">2059754|2059755</t>
  </si>
  <si>
    <t xml:space="preserve">2046194|2050144|2061045|2065430|2065577|2065579</t>
  </si>
  <si>
    <t xml:space="preserve">2045051</t>
  </si>
  <si>
    <t xml:space="preserve">2039045|2039049|2047135|2049205|2049237|2049275|2049276|2059754|2059755|2065324|2065343|2065344</t>
  </si>
  <si>
    <t xml:space="preserve">2043001</t>
  </si>
  <si>
    <t xml:space="preserve">2028693</t>
  </si>
  <si>
    <t xml:space="preserve">519723</t>
  </si>
  <si>
    <t xml:space="preserve">2065377</t>
  </si>
  <si>
    <t xml:space="preserve">2017559|2046890|2047135|2049237|2050205|2061025|2064741</t>
  </si>
  <si>
    <t xml:space="preserve">2045051|2049209|2049210</t>
  </si>
  <si>
    <t xml:space="preserve">2064523|2065430</t>
  </si>
  <si>
    <t xml:space="preserve">2028693|2038291|2041664|2061012|2065374|2065375|2065577|2065579</t>
  </si>
  <si>
    <t xml:space="preserve">2052788</t>
  </si>
  <si>
    <t xml:space="preserve">2017559|2047135|2049237|2052788|2059754|2059755</t>
  </si>
  <si>
    <t xml:space="preserve">2011715|2016636|2024815|2038291|2039045|2039049|2040424|2041664|2044875|2045051|2045521|2045522|2045523|2046890|2049203|2049205|2049209|2049210|2049275|2049276|2050144|2050205|2052353|2052788|2053005|2059735|2059754|2059755|2060577|2060578|2061011|2061012|2061030|2061041|2065324|2065373|2065376|2065377|2065486|2065577|2065579</t>
  </si>
  <si>
    <t xml:space="preserve">1123413</t>
  </si>
  <si>
    <t xml:space="preserve">2059739|2059740</t>
  </si>
  <si>
    <t xml:space="preserve">2017559|2043001|2047135|2049237|2058098|2059754|2059755|2065097|2065342|2065343|2065344</t>
  </si>
  <si>
    <t xml:space="preserve">2011715|2065324</t>
  </si>
  <si>
    <t xml:space="preserve">1125124</t>
  </si>
  <si>
    <t xml:space="preserve">2050167</t>
  </si>
  <si>
    <t xml:space="preserve">101653</t>
  </si>
  <si>
    <t xml:space="preserve">2045476</t>
  </si>
  <si>
    <t xml:space="preserve">2017559|2047135|2049237|2058988|2059754|2059755</t>
  </si>
  <si>
    <t xml:space="preserve">2040424</t>
  </si>
  <si>
    <t xml:space="preserve">2049180</t>
  </si>
  <si>
    <t xml:space="preserve">2029952|2039210</t>
  </si>
  <si>
    <t xml:space="preserve">2050167|2052788</t>
  </si>
  <si>
    <t xml:space="preserve">2039210</t>
  </si>
  <si>
    <t xml:space="preserve">1128027</t>
  </si>
  <si>
    <t xml:space="preserve">2045521</t>
  </si>
  <si>
    <t xml:space="preserve">2039202|2039210|2058988</t>
  </si>
  <si>
    <t xml:space="preserve">1116921</t>
  </si>
  <si>
    <t xml:space="preserve">2065097</t>
  </si>
  <si>
    <t xml:space="preserve">2017559|2028693|2047135|2049237|2059754|2059755</t>
  </si>
  <si>
    <t xml:space="preserve">2060577|2060578|2061043|2065324|2065373|2065376|2065377</t>
  </si>
  <si>
    <t xml:space="preserve">102315</t>
  </si>
  <si>
    <t xml:space="preserve">2065374|2065375</t>
  </si>
  <si>
    <t xml:space="preserve">1158821</t>
  </si>
  <si>
    <t xml:space="preserve">101508</t>
  </si>
  <si>
    <t xml:space="preserve">1158650</t>
  </si>
  <si>
    <t xml:space="preserve">1158658</t>
  </si>
  <si>
    <t xml:space="preserve">2044875|2049203|2049205|2052353|2061011</t>
  </si>
  <si>
    <t xml:space="preserve">2039202|2039210|2045003|2052353|2065486</t>
  </si>
  <si>
    <t xml:space="preserve">2031540</t>
  </si>
  <si>
    <t xml:space="preserve">2017559|2047135|2049237|2061025|2064741</t>
  </si>
  <si>
    <t xml:space="preserve">1126717</t>
  </si>
  <si>
    <t xml:space="preserve">2024815|2061030</t>
  </si>
  <si>
    <t xml:space="preserve">1123853</t>
  </si>
  <si>
    <t xml:space="preserve">2016644|2039045|2039049|2046890|2047135|2049237|2049275|2049276|2050205|2061022</t>
  </si>
  <si>
    <t xml:space="preserve">2065577|2065579</t>
  </si>
  <si>
    <t xml:space="preserve">2045563|2046717|2061045</t>
  </si>
  <si>
    <t xml:space="preserve">1131857</t>
  </si>
  <si>
    <t xml:space="preserve">2065373</t>
  </si>
  <si>
    <t xml:space="preserve">1138081</t>
  </si>
  <si>
    <t xml:space="preserve">102033</t>
  </si>
  <si>
    <t xml:space="preserve">2016644|2024815|2031540|2039045|2039049|2044875|2045003|2045051|2045476|2045522|2045523|2045563|2046717|2046890|2047135|2049203|2049205|2049209|2049210|2049237|2049275|2049276|2050144|2050205|2052353|2052788|2054666|2059739|2059740|2059754|2059755|2061011|2061022|2061030|2061041|2061043|2061045|2064523|2065324|2065373|2065374|2065375|2065376|2065377|2065430|2065486|2065577|2065579</t>
  </si>
  <si>
    <t xml:space="preserve">102244</t>
  </si>
  <si>
    <t xml:space="preserve">2041664</t>
  </si>
  <si>
    <t xml:space="preserve">2039045|2039049|2046890|2049209|2049210|2049275|2049276|2050205</t>
  </si>
  <si>
    <t xml:space="preserve">2017559|2039045|2039049|2047135|2049237|2050144|2059754|2059755|2061025|2061041|2064741</t>
  </si>
  <si>
    <t xml:space="preserve">1127841</t>
  </si>
  <si>
    <t xml:space="preserve">2039049|2041664|2045563|2046194|2046717|2046890|2049203|2049205|2049275|2049276|2050144|2050205|2052788|2054666|2059739|2059740|2059754|2059755|2061027|2061045|2065373|2065374|2065375|2065577|2065579</t>
  </si>
  <si>
    <t xml:space="preserve">EATALY KOP  —  PRONTO  |  EDT Procurement</t>
  </si>
  <si>
    <t xml:space="preserve">  ENA/EDT items for Pronto  |  Toggle in Pronto - EDT Control  |  Lead: 7 days  |  Order 2 days ahead</t>
  </si>
  <si>
    <t xml:space="preserve">693172</t>
  </si>
  <si>
    <t xml:space="preserve">ENA - BOH - Arrabbiata</t>
  </si>
  <si>
    <t xml:space="preserve">1EA</t>
  </si>
  <si>
    <t xml:space="preserve">2052334</t>
  </si>
  <si>
    <t xml:space="preserve">ENA - BOH - BATCH - BROCCOLI SOUP</t>
  </si>
  <si>
    <t xml:space="preserve">2050007</t>
  </si>
  <si>
    <t xml:space="preserve">ENA - BOH - BATCH - BUTTERNUT SQUASH &amp; GINGER SOUP</t>
  </si>
  <si>
    <t xml:space="preserve">2052750</t>
  </si>
  <si>
    <t xml:space="preserve">ENA - BOH - BATCH - CARROT &amp; GINGER SOUP</t>
  </si>
  <si>
    <t xml:space="preserve">2002076</t>
  </si>
  <si>
    <t xml:space="preserve">ENA - BOH - BATCH - FIG MOSTARDA</t>
  </si>
  <si>
    <t xml:space="preserve">2025422</t>
  </si>
  <si>
    <t xml:space="preserve">ENA - BOH - BATCH - MINESTRONE SOUP</t>
  </si>
  <si>
    <t xml:space="preserve">2058042</t>
  </si>
  <si>
    <t xml:space="preserve">ENA - BOH - BATCH - MUSHROOM SOUP</t>
  </si>
  <si>
    <t xml:space="preserve">2050068</t>
  </si>
  <si>
    <t xml:space="preserve">ENA - BOH - BATCH - POTATO &amp; LEEK SOUP</t>
  </si>
  <si>
    <t xml:space="preserve">678079</t>
  </si>
  <si>
    <t xml:space="preserve">ENA - BOH - BATCH - ROASTED CHICKEN SOUP</t>
  </si>
  <si>
    <t xml:space="preserve">2050009</t>
  </si>
  <si>
    <t xml:space="preserve">ENA - BOH - BATCH - ROASTED CHICKEN STOCK</t>
  </si>
  <si>
    <t xml:space="preserve">2057498</t>
  </si>
  <si>
    <t xml:space="preserve">ENA - BOH - BATCH - SOUP - BLACK LENTIL</t>
  </si>
  <si>
    <t xml:space="preserve">2034373</t>
  </si>
  <si>
    <t xml:space="preserve">ENA - BOH - BATCH - VEGETABLE STOCK</t>
  </si>
  <si>
    <t xml:space="preserve">675693</t>
  </si>
  <si>
    <t xml:space="preserve">ENA - BOH - Beet Hummus</t>
  </si>
  <si>
    <t xml:space="preserve">697907</t>
  </si>
  <si>
    <t xml:space="preserve">ENA - BOH - Broccoli &amp; Lemon Soup 5KG</t>
  </si>
  <si>
    <t xml:space="preserve">697908</t>
  </si>
  <si>
    <t xml:space="preserve">ENA - BOH - Broccoli Ragu with Sausage 5KG</t>
  </si>
  <si>
    <t xml:space="preserve">675692</t>
  </si>
  <si>
    <t xml:space="preserve">ENA - BOH - Chickpea Hummus</t>
  </si>
  <si>
    <t xml:space="preserve">2057880</t>
  </si>
  <si>
    <t xml:space="preserve">ENA - BOH - Eggplant Parmesan</t>
  </si>
  <si>
    <t xml:space="preserve">682877</t>
  </si>
  <si>
    <t xml:space="preserve">ENA - BOH - Pesto Calabrese</t>
  </si>
  <si>
    <t xml:space="preserve">686531</t>
  </si>
  <si>
    <t xml:space="preserve">ENA - BOH - Pesto Trapanese</t>
  </si>
  <si>
    <t xml:space="preserve">693182</t>
  </si>
  <si>
    <t xml:space="preserve">ENA - BOH - Pizza Sauce</t>
  </si>
  <si>
    <t xml:space="preserve">2044915</t>
  </si>
  <si>
    <t xml:space="preserve">ENA - BOH - Sundried Tomato Pesto</t>
  </si>
  <si>
    <t xml:space="preserve">EATALY KOP  —  PIZZA PASTA  |  Recipe Control</t>
  </si>
  <si>
    <t xml:space="preserve">  ACTIVE = on order  |  INACTIVE = hidden  |  Pre-check before toggling</t>
  </si>
  <si>
    <t xml:space="preserve">STATUS</t>
  </si>
  <si>
    <t xml:space="preserve">RECIPE #</t>
  </si>
  <si>
    <t xml:space="preserve">RECIPE NAME</t>
  </si>
  <si>
    <t xml:space="preserve">MENU SECTION</t>
  </si>
  <si>
    <t xml:space="preserve">PRODUCTS</t>
  </si>
  <si>
    <t xml:space="preserve">SHARED</t>
  </si>
  <si>
    <t xml:space="preserve">UNIQUE</t>
  </si>
  <si>
    <t xml:space="preserve">IF OFF: removed</t>
  </si>
  <si>
    <t xml:space="preserve">IF ON: added</t>
  </si>
  <si>
    <t xml:space="preserve">NOTES</t>
  </si>
  <si>
    <t xml:space="preserve">LAST UPDATED</t>
  </si>
  <si>
    <t xml:space="preserve">  Antipasti</t>
  </si>
  <si>
    <t xml:space="preserve">ACTIVE</t>
  </si>
  <si>
    <t xml:space="preserve">2059265</t>
  </si>
  <si>
    <t xml:space="preserve">RS - ANTIPASTI - BRUSCHETTA ROMANA</t>
  </si>
  <si>
    <t xml:space="preserve">Antipasti</t>
  </si>
  <si>
    <t xml:space="preserve">All shared — no exclusive removals</t>
  </si>
  <si>
    <t xml:space="preserve">No new exclusive products</t>
  </si>
  <si>
    <t xml:space="preserve">2065444</t>
  </si>
  <si>
    <t xml:space="preserve">RS - ANTIPASTI - CARCIOFO ALLA CARBONARA</t>
  </si>
  <si>
    <t xml:space="preserve">2059267</t>
  </si>
  <si>
    <t xml:space="preserve">RS - ANTIPASTI - CARCIOFO FRITTO E CACIO PEPE</t>
  </si>
  <si>
    <t xml:space="preserve">2065445</t>
  </si>
  <si>
    <t xml:space="preserve">RS - ANTIPASTI - CARCIOFO FRITTO E LEMON AIOLI</t>
  </si>
  <si>
    <t xml:space="preserve">RS - ANTIPASTI - CREMA DI PISELLI 2.0</t>
  </si>
  <si>
    <t xml:space="preserve">1 product(s) fully removed</t>
  </si>
  <si>
    <t xml:space="preserve">Adds 1 exclusive product(s)</t>
  </si>
  <si>
    <t xml:space="preserve">RS - ANTIPASTI - POLPETTE (3PC) [NAPOLI]</t>
  </si>
  <si>
    <t xml:space="preserve">2 product(s) fully removed</t>
  </si>
  <si>
    <t xml:space="preserve">Adds 2 exclusive product(s)</t>
  </si>
  <si>
    <t xml:space="preserve">RS - ANTIPASTI - PROSCIUTTO E OLIVE MARINATE</t>
  </si>
  <si>
    <t xml:space="preserve">4 product(s) fully removed</t>
  </si>
  <si>
    <t xml:space="preserve">Adds 4 exclusive product(s)</t>
  </si>
  <si>
    <t xml:space="preserve">2065446</t>
  </si>
  <si>
    <t xml:space="preserve">RS - ANTIPASTI - SUPPLI AL CACIO E PEPE [100GR]</t>
  </si>
  <si>
    <t xml:space="preserve">2065447</t>
  </si>
  <si>
    <t xml:space="preserve">RS - ANTIPASTI - SUPPLI AL POMODORO [100GR]</t>
  </si>
  <si>
    <t xml:space="preserve">2065449</t>
  </si>
  <si>
    <t xml:space="preserve">RS - ANTIPASTI - SUPPLI AMATRICIANA [100GR]</t>
  </si>
  <si>
    <t xml:space="preserve">RS - ANTIPASTI - TRIS DI SUPPLI</t>
  </si>
  <si>
    <t xml:space="preserve">  Brunch</t>
  </si>
  <si>
    <t xml:space="preserve">RS - BRUNCH - FRITTATA [EASTER 26]</t>
  </si>
  <si>
    <t xml:space="preserve">Brunch</t>
  </si>
  <si>
    <t xml:space="preserve">RS - BRUNCH - UOVA STRAPAZZATE [EASTER 26]</t>
  </si>
  <si>
    <t xml:space="preserve">  Contorni / Fritti</t>
  </si>
  <si>
    <t xml:space="preserve">2059289</t>
  </si>
  <si>
    <t xml:space="preserve">RS - CONTORNI - PATATE FRITTE EATALY</t>
  </si>
  <si>
    <t xml:space="preserve">Contorni / Fritti</t>
  </si>
  <si>
    <t xml:space="preserve">RS - FRITTI - CALAMARI FRITTI CON ZUCCHINE (170G) [ENY + EBO]</t>
  </si>
  <si>
    <t xml:space="preserve">  ENA Restaurant</t>
  </si>
  <si>
    <t xml:space="preserve">2059501</t>
  </si>
  <si>
    <t xml:space="preserve">ENA - BOH - BATCH - CREMA DI PISELLI</t>
  </si>
  <si>
    <t xml:space="preserve">ENA Restaurant</t>
  </si>
  <si>
    <t xml:space="preserve">2045201</t>
  </si>
  <si>
    <t xml:space="preserve">ENA - BOH - BATCH - WHIPPED RICOTTA</t>
  </si>
  <si>
    <t xml:space="preserve">2043342</t>
  </si>
  <si>
    <t xml:space="preserve">ENA - PIZZA PASTA - SUB-RECIPE - VEGETABLE BATTER</t>
  </si>
  <si>
    <t xml:space="preserve">ENA - RESTAURANTS - ANTIPASTI - BURRATA CAPRESE [HOUSEMADE]</t>
  </si>
  <si>
    <t xml:space="preserve">ENA - RESTAURANTS - ANTIPASTI - TAGLIERE - GRANDE ANTIPASTO</t>
  </si>
  <si>
    <t xml:space="preserve">15 product(s) fully removed</t>
  </si>
  <si>
    <t xml:space="preserve">Adds 15 exclusive product(s)</t>
  </si>
  <si>
    <t xml:space="preserve">ENA - RESTAURANTS - PASTA - SPAGHETTO AL POMODORO E BURRATA</t>
  </si>
  <si>
    <t xml:space="preserve">ENA - RESTAURANTS - PASTA FRESCA - FETTUCCINE BURRO E</t>
  </si>
  <si>
    <t xml:space="preserve">2043863</t>
  </si>
  <si>
    <t xml:space="preserve">ENA - RESTAURANTS - PASTA FRESCA - LASAGNA EMILIA</t>
  </si>
  <si>
    <t xml:space="preserve">ENA - RESTAURANTS - PASTA SECCA - LINGUINE ALLO SCOGLIO</t>
  </si>
  <si>
    <t xml:space="preserve">6 product(s) fully removed</t>
  </si>
  <si>
    <t xml:space="preserve">Adds 6 exclusive product(s)</t>
  </si>
  <si>
    <t xml:space="preserve">  Gnocchi / Pane</t>
  </si>
  <si>
    <t xml:space="preserve">RS - GNOCCHI - GNOCCHI ALL'ARRABBIATA 2.0</t>
  </si>
  <si>
    <t xml:space="preserve">Gnocchi / Pane</t>
  </si>
  <si>
    <t xml:space="preserve">RS - PANE - PANE BURRO E ACCIUGHE [RUSTIC]</t>
  </si>
  <si>
    <t xml:space="preserve">  Insalate</t>
  </si>
  <si>
    <t xml:space="preserve">RS - INSALATE - CESARE</t>
  </si>
  <si>
    <t xml:space="preserve">Insalate</t>
  </si>
  <si>
    <t xml:space="preserve">RS - INSALATE - INSALATA DI BARBABIETOLE</t>
  </si>
  <si>
    <t xml:space="preserve">3 product(s) fully removed</t>
  </si>
  <si>
    <t xml:space="preserve">Adds 3 exclusive product(s)</t>
  </si>
  <si>
    <t xml:space="preserve">2059576</t>
  </si>
  <si>
    <t xml:space="preserve">RS - INSALATE - INSALATA DI RUCOLA (WITH LEMON VINAIGRETTE) 2.0</t>
  </si>
  <si>
    <t xml:space="preserve">RS - INSALATE - INSALATA TRICOLORE</t>
  </si>
  <si>
    <t xml:space="preserve">  Kitchen Batch / Prep</t>
  </si>
  <si>
    <t xml:space="preserve">2060352</t>
  </si>
  <si>
    <t xml:space="preserve">CK - BATCH - SALE ALLE ERBE</t>
  </si>
  <si>
    <t xml:space="preserve">Kitchen Batch / Prep</t>
  </si>
  <si>
    <t xml:space="preserve">2059262</t>
  </si>
  <si>
    <t xml:space="preserve">CK-B - BRUSCHETTA ROMANA VEGETABLE MIX</t>
  </si>
  <si>
    <t xml:space="preserve">2059550</t>
  </si>
  <si>
    <t xml:space="preserve">CK-B - CACIO E PEPE W/WATER</t>
  </si>
  <si>
    <t xml:space="preserve">2057716</t>
  </si>
  <si>
    <t xml:space="preserve">CK-B - FRIED ARTICHOKE CHIP</t>
  </si>
  <si>
    <t xml:space="preserve">2057718</t>
  </si>
  <si>
    <t xml:space="preserve">CK-B - GREEN PANURE [FINE]</t>
  </si>
  <si>
    <t xml:space="preserve">2003051</t>
  </si>
  <si>
    <t xml:space="preserve">CK-B - LEMON VINAIGRETTE 2.0</t>
  </si>
  <si>
    <t xml:space="preserve">2029952</t>
  </si>
  <si>
    <t xml:space="preserve">CK-B - MEDITERRANEAN SAUCE</t>
  </si>
  <si>
    <t xml:space="preserve">2054572</t>
  </si>
  <si>
    <t xml:space="preserve">CK-B - POWDERED RED PEPPER</t>
  </si>
  <si>
    <t xml:space="preserve">2052716</t>
  </si>
  <si>
    <t xml:space="preserve">CK-B - RENDERED GUANCIALE [SALUMIFICIO SAN CARLO]</t>
  </si>
  <si>
    <t xml:space="preserve">2046253</t>
  </si>
  <si>
    <t xml:space="preserve">CK-B - WHITE BALSAMIC DRESSING</t>
  </si>
  <si>
    <t xml:space="preserve">CK-B- CARBONARA BASE 2.0 [ENY + EBO]</t>
  </si>
  <si>
    <t xml:space="preserve">2024691</t>
  </si>
  <si>
    <t xml:space="preserve">CK-B- LEMON AIOLI 2.0 [ENY + EBO]</t>
  </si>
  <si>
    <t xml:space="preserve">  Pasta Fresca</t>
  </si>
  <si>
    <t xml:space="preserve">RS - PASTA FRESCA - CARBONARA AL TARTUFO NERO</t>
  </si>
  <si>
    <t xml:space="preserve">Pasta Fresca</t>
  </si>
  <si>
    <t xml:space="preserve">RS - PASTA FRESCA - CARBONARA CON CARCIOFI E BOTTARGA</t>
  </si>
  <si>
    <t xml:space="preserve">2065456</t>
  </si>
  <si>
    <t xml:space="preserve">RS - PASTA FRESCA - CARBONARA CON GAMBERI</t>
  </si>
  <si>
    <t xml:space="preserve">2065455</t>
  </si>
  <si>
    <t xml:space="preserve">RS - PASTA FRESCA - CARBONARA DI ASPARAGI [MEZZI PACCHERI]</t>
  </si>
  <si>
    <t xml:space="preserve">2065452</t>
  </si>
  <si>
    <t xml:space="preserve">RS - PASTA FRESCA - MEZZI PACCHERI ALLA CARBONARA</t>
  </si>
  <si>
    <t xml:space="preserve">RS - PASTA FRESCA - RAVIOLI DI PISELLI 3.0</t>
  </si>
  <si>
    <t xml:space="preserve">2064824</t>
  </si>
  <si>
    <t xml:space="preserve">RS - PASTA FRESCA - SPAGHETTI AGLIO E OLIO [EXTRUDED]</t>
  </si>
  <si>
    <t xml:space="preserve">2017562</t>
  </si>
  <si>
    <t xml:space="preserve">RS - PASTA FRESCA - TAGLIATELLE ALLA BOLOGNESE [ENY + EBO]</t>
  </si>
  <si>
    <t xml:space="preserve">  Pasta Secca</t>
  </si>
  <si>
    <t xml:space="preserve">2028995</t>
  </si>
  <si>
    <t xml:space="preserve">RS - PASTA - TONNARELLI CACIO E PEPE [PASTAIO]</t>
  </si>
  <si>
    <t xml:space="preserve">Pasta Secca</t>
  </si>
  <si>
    <t xml:space="preserve">2061006</t>
  </si>
  <si>
    <t xml:space="preserve">RS - PASTA SECCA - LO SPAGHETTO AL POMODORO [OLITALIA]</t>
  </si>
  <si>
    <t xml:space="preserve">  Secondi</t>
  </si>
  <si>
    <t xml:space="preserve">RS - SECONDI - BRANZINO ALLA LIVORNESE (FILLET) [TOSCANA]</t>
  </si>
  <si>
    <t xml:space="preserve">Secondi</t>
  </si>
  <si>
    <t xml:space="preserve">RS - SECONDI - GRAN MILANESE DI POLLO 2.0</t>
  </si>
  <si>
    <t xml:space="preserve">RS - SECONDI - SALMONE ALLA PIASTRA</t>
  </si>
  <si>
    <t xml:space="preserve">RS - SECONDI - TAGLIATA DI MANZO 3.0 [STRIP]</t>
  </si>
  <si>
    <t xml:space="preserve">RS - SECONDI - WAGYU ALLA GRIGLIA E SALSA VERDE</t>
  </si>
  <si>
    <t xml:space="preserve">EATALY KOP  —  PIZZA PASTA  |  EDT Item Control</t>
  </si>
  <si>
    <t xml:space="preserve">  ACTIVE = on EDT order  |  INACTIVE = hidden  |  Refresh after changes</t>
  </si>
  <si>
    <t xml:space="preserve">  EDT - BAKERY</t>
  </si>
  <si>
    <t xml:space="preserve">  EDT - CENTRAL KITCHEN</t>
  </si>
  <si>
    <t xml:space="preserve">  EDT - FRESH PASTA</t>
  </si>
  <si>
    <t xml:space="preserve">EATALY KOP  —  PRONTO  |  Recipe Control</t>
  </si>
  <si>
    <t xml:space="preserve">  Contorni</t>
  </si>
  <si>
    <t xml:space="preserve">2045563</t>
  </si>
  <si>
    <t xml:space="preserve">P1 - CONTORNI - BROCCOLI RABE &amp; LEMON ZEST (8 OZ)</t>
  </si>
  <si>
    <t xml:space="preserve">Contorni</t>
  </si>
  <si>
    <t xml:space="preserve">P1 - CONTORNI - CAPRESE (8 OZ)</t>
  </si>
  <si>
    <t xml:space="preserve">P1 - CONTORNI - FRITTATINA GREEN PEAS [3 OZ]</t>
  </si>
  <si>
    <t xml:space="preserve">2060578</t>
  </si>
  <si>
    <t xml:space="preserve">P1 - CONTORNI - MIXED CARROT, PEAS, CORN</t>
  </si>
  <si>
    <t xml:space="preserve">2059740</t>
  </si>
  <si>
    <t xml:space="preserve">P1 - CONTORNI - PISELLI &amp; PROSCIUTTO COTTO (8 OZ)</t>
  </si>
  <si>
    <t xml:space="preserve">2059735</t>
  </si>
  <si>
    <t xml:space="preserve">P1 - CONTORNI - POTATO ROSEMARY (8 OZ)</t>
  </si>
  <si>
    <t xml:space="preserve">2045523</t>
  </si>
  <si>
    <t xml:space="preserve">P1 - CONTORNI - ROASTED BEETS &amp; FIG VINEGAR (8 OZ)</t>
  </si>
  <si>
    <t xml:space="preserve">  ENA / Master</t>
  </si>
  <si>
    <t xml:space="preserve">ENA - MASTER - SAUCE - BURRO E PARMIGIANO (ALFREDO BASE) -</t>
  </si>
  <si>
    <t xml:space="preserve">ENA / Master</t>
  </si>
  <si>
    <t xml:space="preserve">2054666</t>
  </si>
  <si>
    <t xml:space="preserve">ENA - MASTER - SAUCE - COSI COME TOMATO SAUCE (OLITALIA</t>
  </si>
  <si>
    <t xml:space="preserve">2016644</t>
  </si>
  <si>
    <t xml:space="preserve">CK-B - BASIC TOMATO SAUCE</t>
  </si>
  <si>
    <t xml:space="preserve">2016636</t>
  </si>
  <si>
    <t xml:space="preserve">CK-B - BECHAMEL SAUCE</t>
  </si>
  <si>
    <t xml:space="preserve">2046717</t>
  </si>
  <si>
    <t xml:space="preserve">CK-B - BROCCOLI RABE &amp; LEMON ZEST</t>
  </si>
  <si>
    <t xml:space="preserve">CK-B - BURRO AL LIMONE 02/2026</t>
  </si>
  <si>
    <t xml:space="preserve">2064523</t>
  </si>
  <si>
    <t xml:space="preserve">CK-B - COOKED ATLANTIC SALMON W/O SKIN [UNIT]</t>
  </si>
  <si>
    <t xml:space="preserve">CK-B - COOKED RUSSET POTATOES</t>
  </si>
  <si>
    <t xml:space="preserve">CK-B - DIJONNAISE MIX</t>
  </si>
  <si>
    <t xml:space="preserve">2065374</t>
  </si>
  <si>
    <t xml:space="preserve">CK-B - FAVA &amp; GREEN PEAS PESTO</t>
  </si>
  <si>
    <t xml:space="preserve">CK-B - FIG &amp; VINEGAR DRESSING</t>
  </si>
  <si>
    <t xml:space="preserve">2065376</t>
  </si>
  <si>
    <t xml:space="preserve">CK-B - FRITTATINA GREEN PEAS [10 EA]</t>
  </si>
  <si>
    <t xml:space="preserve">2039045</t>
  </si>
  <si>
    <t xml:space="preserve">CK-B - GNOCCHI AL POMODORO [EAST]</t>
  </si>
  <si>
    <t xml:space="preserve">2053005</t>
  </si>
  <si>
    <t xml:space="preserve">CK-B - GRILLED ASPARAGUS [EAST]</t>
  </si>
  <si>
    <t xml:space="preserve">2045003</t>
  </si>
  <si>
    <t xml:space="preserve">CK-B - GRILLED CHICKEN</t>
  </si>
  <si>
    <t xml:space="preserve">2058098</t>
  </si>
  <si>
    <t xml:space="preserve">CK-B - HERB BUTTER</t>
  </si>
  <si>
    <t xml:space="preserve">CK-B - HERB MARINADE [FOR GRILLED CHICKEN]</t>
  </si>
  <si>
    <t xml:space="preserve">2060577</t>
  </si>
  <si>
    <t xml:space="preserve">CK-B - MIXED CARROT, PEAS, CORN</t>
  </si>
  <si>
    <t xml:space="preserve">2038291</t>
  </si>
  <si>
    <t xml:space="preserve">CK-B - PESTO GENOVESE (GRANAROLO)</t>
  </si>
  <si>
    <t xml:space="preserve">CK-B - PESTO PRIMAVERA</t>
  </si>
  <si>
    <t xml:space="preserve">2059739</t>
  </si>
  <si>
    <t xml:space="preserve">CK-B - PISELLI &amp; PROSCIUTTO COTTO</t>
  </si>
  <si>
    <t xml:space="preserve">2024815</t>
  </si>
  <si>
    <t xml:space="preserve">CK-B - PIZZA SAUCE (REGULAR)</t>
  </si>
  <si>
    <t xml:space="preserve">2064741</t>
  </si>
  <si>
    <t xml:space="preserve">CK-B - RAGU BOLOGNESE</t>
  </si>
  <si>
    <t xml:space="preserve">2039202</t>
  </si>
  <si>
    <t xml:space="preserve">CK-B - RAW BREADED CHICKEN BREAST</t>
  </si>
  <si>
    <t xml:space="preserve">2045522</t>
  </si>
  <si>
    <t xml:space="preserve">CK-B - ROASTED BEETS &amp; FIG VINEGAR</t>
  </si>
  <si>
    <t xml:space="preserve">2059734</t>
  </si>
  <si>
    <t xml:space="preserve">CK-B - ROASTED ROSEMARY POTATO [YUKON]</t>
  </si>
  <si>
    <t xml:space="preserve">2044875</t>
  </si>
  <si>
    <t xml:space="preserve">CK-B - SPINACH &amp; WALNUT PESTO</t>
  </si>
  <si>
    <t xml:space="preserve">2049203</t>
  </si>
  <si>
    <t xml:space="preserve">CK-B - SPINACH PESTO &amp; WHIPPED RICOTTA &amp; FUSILLI (GAROFALO)</t>
  </si>
  <si>
    <t xml:space="preserve">2065577</t>
  </si>
  <si>
    <t xml:space="preserve">CK-B - SUPPLI CACIO PEPE BASE 2.0</t>
  </si>
  <si>
    <t xml:space="preserve">2049209</t>
  </si>
  <si>
    <t xml:space="preserve">CK-B - TOMATO &amp; MOZZARELLA PASTA (FUSILLI) [GAROFALO]</t>
  </si>
  <si>
    <t xml:space="preserve">2065343</t>
  </si>
  <si>
    <t xml:space="preserve">CK-B - WALNUT SAUCE [PESTO]</t>
  </si>
  <si>
    <t xml:space="preserve">2011715</t>
  </si>
  <si>
    <t xml:space="preserve">CK-B - WHIPPED RICOTTA [EVOO, SALT]</t>
  </si>
  <si>
    <t xml:space="preserve">ENA - BOH - BATCH - CAESAR PECORINO RECCA ANCHOVY DRESSING</t>
  </si>
  <si>
    <t xml:space="preserve">ENA - BOH - BATCH - FRITTO FLOUR MIX</t>
  </si>
  <si>
    <t xml:space="preserve">2058988</t>
  </si>
  <si>
    <t xml:space="preserve">ENA - BOH - BATCH - UNIT - RAW BREADED CHICKEN MILANESE (ROUND</t>
  </si>
  <si>
    <t xml:space="preserve">Other</t>
  </si>
  <si>
    <t xml:space="preserve">5 product(s) fully removed</t>
  </si>
  <si>
    <t xml:space="preserve">Adds 5 exclusive product(s)</t>
  </si>
  <si>
    <t xml:space="preserve">2017559</t>
  </si>
  <si>
    <t xml:space="preserve">2065579</t>
  </si>
  <si>
    <t xml:space="preserve">  Pasta</t>
  </si>
  <si>
    <t xml:space="preserve">2039049</t>
  </si>
  <si>
    <t xml:space="preserve">P1 - PASTA - GNOCCHI SORRENTINA (S) (10.5 OZ)</t>
  </si>
  <si>
    <t xml:space="preserve">Pasta</t>
  </si>
  <si>
    <t xml:space="preserve">2049210</t>
  </si>
  <si>
    <t xml:space="preserve">P1 - PASTA FREDDA - CHERRY TOMATO, MOZZARELLA &amp; PASTA FUSILLI</t>
  </si>
  <si>
    <t xml:space="preserve">2049205</t>
  </si>
  <si>
    <t xml:space="preserve">P1 - PASTA FREDDA - SPINACH PESTO, WHIPPED RICOTTA &amp; FUSILLI</t>
  </si>
  <si>
    <t xml:space="preserve">P1 - SOUP - ROASTED CHICKEN &amp;  PASTA SOUP</t>
  </si>
  <si>
    <t xml:space="preserve">  Pasta al Forno</t>
  </si>
  <si>
    <t xml:space="preserve">2059755</t>
  </si>
  <si>
    <t xml:space="preserve">P1 - PASTA - LASAGNA DI VERDURE (L) (39 OZ)</t>
  </si>
  <si>
    <t xml:space="preserve">Pasta al Forno</t>
  </si>
  <si>
    <t xml:space="preserve">2059754</t>
  </si>
  <si>
    <t xml:space="preserve">P1 - PASTA - LASAGNA DI VERDURE (S) (11 OZ)</t>
  </si>
  <si>
    <t xml:space="preserve">2047135</t>
  </si>
  <si>
    <t xml:space="preserve">P1 - PASTA AL FORNO - LASAGNA EMILIANA (L) (51.3 OZ) [EAST]</t>
  </si>
  <si>
    <t xml:space="preserve">2049237</t>
  </si>
  <si>
    <t xml:space="preserve">P1 - PASTA AL FORNO - LASAGNA EMILIANA (S) (13.4 OZ) [EAST]</t>
  </si>
  <si>
    <t xml:space="preserve">  Piatti</t>
  </si>
  <si>
    <t xml:space="preserve">2050205</t>
  </si>
  <si>
    <t xml:space="preserve">P1 - PIATTI - BEEF &amp; PORK MEATBALLS (L) (12 PIECES) (43 OZ)</t>
  </si>
  <si>
    <t xml:space="preserve">Piatti</t>
  </si>
  <si>
    <t xml:space="preserve">2046890</t>
  </si>
  <si>
    <t xml:space="preserve">P1 - PIATTI - BEEF &amp; PORK MEATBALLS (S) (4 PC) (14.2 OZ)</t>
  </si>
  <si>
    <t xml:space="preserve">P1 - PIATTI - CHICKEN MILANESE (12.3 OZ)</t>
  </si>
  <si>
    <t xml:space="preserve">2049276</t>
  </si>
  <si>
    <t xml:space="preserve">P1 - PIATTI - EGGPLANT PARMIGIANA (L) (47 OZ)</t>
  </si>
  <si>
    <t xml:space="preserve">2049275</t>
  </si>
  <si>
    <t xml:space="preserve">P1 - PIATTI - EGGPLANT PARMIGIANA (S) (12.2 OZ)</t>
  </si>
  <si>
    <t xml:space="preserve">P1 - PIATTI - MARINATED GRILLED CHICKEN (10.2 OZ)</t>
  </si>
  <si>
    <t xml:space="preserve">2065486</t>
  </si>
  <si>
    <t xml:space="preserve">P1 - PIATTI - POLLO &amp; ASPARAGUS [8.4 OZ]</t>
  </si>
  <si>
    <t xml:space="preserve">2065430</t>
  </si>
  <si>
    <t xml:space="preserve">P1 - PIATTI - ROASTED SALMON [PROTEIN]</t>
  </si>
  <si>
    <t xml:space="preserve">  Sauces / Pesto / Dips</t>
  </si>
  <si>
    <t xml:space="preserve">2065342</t>
  </si>
  <si>
    <t xml:space="preserve">P1 - BUTTER - LEMON HERB BUTTER</t>
  </si>
  <si>
    <t xml:space="preserve">Sauces / Pesto / Dips</t>
  </si>
  <si>
    <t xml:space="preserve">P1 - DIPS - HUMMUS &amp; PEAS WITH PAPRIKA [8.2 OZ]</t>
  </si>
  <si>
    <t xml:space="preserve">2065324</t>
  </si>
  <si>
    <t xml:space="preserve">P1 - DIPS - WHIPPED RICOTTA &amp; PESTO PRIMAVERA</t>
  </si>
  <si>
    <t xml:space="preserve">2061012</t>
  </si>
  <si>
    <t xml:space="preserve">P1 - PESTO - BASIL 2.0 [200GR]</t>
  </si>
  <si>
    <t xml:space="preserve">2065375</t>
  </si>
  <si>
    <t xml:space="preserve">P1 - PESTO - FAVA &amp; GREEN PEAS PESTO</t>
  </si>
  <si>
    <t xml:space="preserve">2061011</t>
  </si>
  <si>
    <t xml:space="preserve">P1 - PESTO - SPINACH &amp; WALNUT 2.0 [200GR]</t>
  </si>
  <si>
    <t xml:space="preserve">2065344</t>
  </si>
  <si>
    <t xml:space="preserve">P1 - PESTO - WALNUT SAUCE</t>
  </si>
  <si>
    <t xml:space="preserve">2061027</t>
  </si>
  <si>
    <t xml:space="preserve">P1 - SAUCE - CACIO E PEPE 2.0 [220GR]</t>
  </si>
  <si>
    <t xml:space="preserve">P1 - SAUCE - GREEN SAUCE [SALSA VERDE]</t>
  </si>
  <si>
    <t xml:space="preserve">2061030</t>
  </si>
  <si>
    <t xml:space="preserve">P1 - SAUCE - PIZZA SAUCE 2.0 (REGULAR) [500GR]</t>
  </si>
  <si>
    <t xml:space="preserve">2061025</t>
  </si>
  <si>
    <t xml:space="preserve">P1 - SAUCE - RAGU BOLOGNESE 2.0 [540GR]</t>
  </si>
  <si>
    <t xml:space="preserve">2061022</t>
  </si>
  <si>
    <t xml:space="preserve">P1 - SAUCE - SALSA DI POMODORO 2.0 [500GR]</t>
  </si>
  <si>
    <t xml:space="preserve">  Soup</t>
  </si>
  <si>
    <t xml:space="preserve">P1 - SOUP - CARROT &amp; GINGER 2.0 [740GR]</t>
  </si>
  <si>
    <t xml:space="preserve">Soup</t>
  </si>
  <si>
    <t xml:space="preserve">P1 - SOUP - MINESTRONE 2.0 [780GR]</t>
  </si>
  <si>
    <t xml:space="preserve">2061043</t>
  </si>
  <si>
    <t xml:space="preserve">P1 - SOUP - SPRING PEA &amp; MINT 2.0 [740GR]</t>
  </si>
  <si>
    <t xml:space="preserve">EATALY KOP  —  PRONTO  |  EDT Item Control</t>
  </si>
  <si>
    <t xml:space="preserve">EATALY KOP  —  PRODUCT MASTER  |  All Outlets</t>
  </si>
  <si>
    <t xml:space="preserve">  Amber = no vendor — validate with chef team  |  ✓ columns show which outlet uses each product</t>
  </si>
  <si>
    <t xml:space="preserve">PRODUCT NAME</t>
  </si>
  <si>
    <t xml:space="preserve">UNIT</t>
  </si>
  <si>
    <t xml:space="preserve">IN PIPA?</t>
  </si>
  <si>
    <t xml:space="preserve">IN PRONTO?</t>
  </si>
  <si>
    <t xml:space="preserve">RECIPE COUNT</t>
  </si>
  <si>
    <t xml:space="preserve">VENDOR?</t>
  </si>
  <si>
    <t xml:space="preserve">1163286</t>
  </si>
  <si>
    <t xml:space="preserve">ORGANIC GF CHICKPEA FUSILLI 8 OZ [FELICIA]</t>
  </si>
  <si>
    <t xml:space="preserve">Andriani Usa Pbc</t>
  </si>
  <si>
    <t xml:space="preserve">Pasta &amp; Grains</t>
  </si>
  <si>
    <t xml:space="preserve">ea</t>
  </si>
  <si>
    <t xml:space="preserve">—</t>
  </si>
  <si>
    <t xml:space="preserve">✓</t>
  </si>
  <si>
    <t xml:space="preserve">GORGONZOLA DOLCE CREAMY [ARRIGONI]</t>
  </si>
  <si>
    <t xml:space="preserve">Dairy &amp; Eggs</t>
  </si>
  <si>
    <t xml:space="preserve">lb</t>
  </si>
  <si>
    <t xml:space="preserve">GRANA PADANO, 12 MOS [AGRIFORM]</t>
  </si>
  <si>
    <t xml:space="preserve">PARMIGIANO REGGIANO, 12 MONTH [AGRIFORM]</t>
  </si>
  <si>
    <t xml:space="preserve">TALEGGIO DOP [ARRIGONI]</t>
  </si>
  <si>
    <t xml:space="preserve">ARTICHOKES, ROMAN WITH STEMS (SOLEGGIATI MENU)</t>
  </si>
  <si>
    <t xml:space="preserve">Dry Goods &amp; Pantry</t>
  </si>
  <si>
    <t xml:space="preserve">OLIVES, GAETA [FRUTTO D'ITALIA]</t>
  </si>
  <si>
    <t xml:space="preserve">OLIVES, GREEN CASTELVETRANO [FRUTTO D'ITALIA]</t>
  </si>
  <si>
    <t xml:space="preserve">OLIVES, GREEN CERIGNOLA [FRUTTO D'ITALIA]</t>
  </si>
  <si>
    <t xml:space="preserve">OLIVES, TAGGIASCA PITTED [FRUTTO D'ITALIA]</t>
  </si>
  <si>
    <t xml:space="preserve">OLIVES, TAGGIASCA [FRUTTO D'ITALIA]</t>
  </si>
  <si>
    <t xml:space="preserve">GUANCIALE [SALUMIFICIO SAN CARLO]</t>
  </si>
  <si>
    <t xml:space="preserve">PROVOLONE, SPICY GIGANTE (GHIDETTI)</t>
  </si>
  <si>
    <t xml:space="preserve">SPECK IGP [RECLA]</t>
  </si>
  <si>
    <t xml:space="preserve">HEAVY CREAM 36% UHT QUART [FARMLAND FRESH]</t>
  </si>
  <si>
    <t xml:space="preserve">CA12</t>
  </si>
  <si>
    <t xml:space="preserve">PEPPER, BLACK WHOLE</t>
  </si>
  <si>
    <t xml:space="preserve">ASPARAGUS, LARGE</t>
  </si>
  <si>
    <t xml:space="preserve">CARROT, BULK JUMBO/LARGE</t>
  </si>
  <si>
    <t xml:space="preserve">LEEKS</t>
  </si>
  <si>
    <t xml:space="preserve">EGGS, LARGE AA</t>
  </si>
  <si>
    <t xml:space="preserve">Produce - Herbs</t>
  </si>
  <si>
    <t xml:space="preserve">CA180</t>
  </si>
  <si>
    <t xml:space="preserve">LIQUID EGG, WHOLE</t>
  </si>
  <si>
    <t xml:space="preserve">CA15</t>
  </si>
  <si>
    <t xml:space="preserve">MILK, WHOLE</t>
  </si>
  <si>
    <t xml:space="preserve">ARTICHOKES, BABY</t>
  </si>
  <si>
    <t xml:space="preserve">Produce - Veg &amp; Fruit</t>
  </si>
  <si>
    <t xml:space="preserve">CA20</t>
  </si>
  <si>
    <t xml:space="preserve">ARUGULA, BABY BULK 1.5LB [B&amp;W]</t>
  </si>
  <si>
    <t xml:space="preserve">CA2</t>
  </si>
  <si>
    <t xml:space="preserve">BASIL, FRESH BUNCHED</t>
  </si>
  <si>
    <t xml:space="preserve">BEETS, RED MED-LARGE LOOSE</t>
  </si>
  <si>
    <t xml:space="preserve">CA25</t>
  </si>
  <si>
    <t xml:space="preserve">BROCCOLI, RABE</t>
  </si>
  <si>
    <t xml:space="preserve">CARROTS, DICED 1/4"</t>
  </si>
  <si>
    <t xml:space="preserve">CA4</t>
  </si>
  <si>
    <t xml:space="preserve">CELERY, DICED 1/4"</t>
  </si>
  <si>
    <t xml:space="preserve">CELERY, LOOSE</t>
  </si>
  <si>
    <t xml:space="preserve">CA30</t>
  </si>
  <si>
    <t xml:space="preserve">CHIVES, FRESH</t>
  </si>
  <si>
    <t xml:space="preserve">CA1</t>
  </si>
  <si>
    <t xml:space="preserve">DILL, FRESH</t>
  </si>
  <si>
    <t xml:space="preserve">EGGPLANT</t>
  </si>
  <si>
    <t xml:space="preserve">ENDIVE, BELGIAN</t>
  </si>
  <si>
    <t xml:space="preserve">CA10</t>
  </si>
  <si>
    <t xml:space="preserve">ENDIVE, RED</t>
  </si>
  <si>
    <t xml:space="preserve">CA6.6</t>
  </si>
  <si>
    <t xml:space="preserve">FENNEL, ANISE</t>
  </si>
  <si>
    <t xml:space="preserve">CA24</t>
  </si>
  <si>
    <t xml:space="preserve">GARLIC, PEELED 5LB</t>
  </si>
  <si>
    <t xml:space="preserve">CA5</t>
  </si>
  <si>
    <t xml:space="preserve">GRAPES, WHITE/GREEN SEEDLESS</t>
  </si>
  <si>
    <t xml:space="preserve">CA18</t>
  </si>
  <si>
    <t xml:space="preserve">KALE, LACINATO</t>
  </si>
  <si>
    <t xml:space="preserve">LEMONS, CHOICE</t>
  </si>
  <si>
    <t xml:space="preserve">CA200</t>
  </si>
  <si>
    <t xml:space="preserve">LETTUCE, FRISEE</t>
  </si>
  <si>
    <t xml:space="preserve">LETTUCE, LITTLE GEM</t>
  </si>
  <si>
    <t xml:space="preserve">MICROGREENS, PEA SHOOTS</t>
  </si>
  <si>
    <t xml:space="preserve">MINT, FRESH</t>
  </si>
  <si>
    <t xml:space="preserve">ONION, SPANISH</t>
  </si>
  <si>
    <t xml:space="preserve">CA50</t>
  </si>
  <si>
    <t xml:space="preserve">ONION, SPANISH DICED 1/4"</t>
  </si>
  <si>
    <t xml:space="preserve">ORANGES, CARA CARA</t>
  </si>
  <si>
    <t xml:space="preserve">CA40</t>
  </si>
  <si>
    <t xml:space="preserve">OREGANO, FRESH</t>
  </si>
  <si>
    <t xml:space="preserve">PARSLEY, FLAKES</t>
  </si>
  <si>
    <t xml:space="preserve">PARSLEY, ITALIAN FRESH</t>
  </si>
  <si>
    <t xml:space="preserve">CA60</t>
  </si>
  <si>
    <t xml:space="preserve">POTATOES, GPOD IDAHO/RUSSET 40CT</t>
  </si>
  <si>
    <t xml:space="preserve">POTATOES, RUSSET</t>
  </si>
  <si>
    <t xml:space="preserve">POTATOES, YUKON -A-</t>
  </si>
  <si>
    <t xml:space="preserve">RADICCHIO</t>
  </si>
  <si>
    <t xml:space="preserve">CA9</t>
  </si>
  <si>
    <t xml:space="preserve">RADISH, WATERMELON</t>
  </si>
  <si>
    <t xml:space="preserve">ROSEMARY, FRESH</t>
  </si>
  <si>
    <t xml:space="preserve">SAGE, FRESH</t>
  </si>
  <si>
    <t xml:space="preserve">SQUASH, GREEN MEDIUM ZUCCHINI</t>
  </si>
  <si>
    <t xml:space="preserve">THYME, FRESH</t>
  </si>
  <si>
    <t xml:space="preserve">TOMATOES, CHERRY ON THE VINE</t>
  </si>
  <si>
    <t xml:space="preserve">TOMATOES, HEIRLOOM</t>
  </si>
  <si>
    <t xml:space="preserve">TOMATOES, RED CHERRY PINT</t>
  </si>
  <si>
    <t xml:space="preserve">GINGER FRESH</t>
  </si>
  <si>
    <t xml:space="preserve">MUSHROOM PORTOBELLO, JUMBO</t>
  </si>
  <si>
    <t xml:space="preserve">MUSHROOM, SHIITAKE EXTRA LARGE</t>
  </si>
  <si>
    <t xml:space="preserve">ONION RED DICE 1/4"</t>
  </si>
  <si>
    <t xml:space="preserve">ONION, SHALLOTS PEELED</t>
  </si>
  <si>
    <t xml:space="preserve">SNOWPEAS</t>
  </si>
  <si>
    <t xml:space="preserve">EGGS, EXTRA LARGE AA</t>
  </si>
  <si>
    <t xml:space="preserve">BASIL, LOOSE</t>
  </si>
  <si>
    <t xml:space="preserve">BAY LEAVES, FRESH</t>
  </si>
  <si>
    <t xml:space="preserve">CAULIFLOWER, ROMANESCO</t>
  </si>
  <si>
    <t xml:space="preserve">PEA, TENDRILS</t>
  </si>
  <si>
    <t xml:space="preserve">ANCHOVY BOH FORMAT BUCKET 14.9 OZ [RIZZOLI]</t>
  </si>
  <si>
    <t xml:space="preserve">PASTE, TOMATO DOUBLE CONCENTRATED 158.78 OZ BOH (MUTTI)</t>
  </si>
  <si>
    <t xml:space="preserve">TOMATO PULP, POLPA DI POMODORO 3 KG 6.6 LB (MUTTI) (FOODSERV</t>
  </si>
  <si>
    <t xml:space="preserve">TOMATO PULP, POLPA DI POMODORO 5 KG 11lbs BOH (MUTTI) </t>
  </si>
  <si>
    <t xml:space="preserve">TOMATO PUREE PASSATA 6lb 10oz BOH</t>
  </si>
  <si>
    <t xml:space="preserve">TOMATOES, POMODORI PELATI (PEELED) 6 LB 9.8OZ BOH (MUTTI) </t>
  </si>
  <si>
    <t xml:space="preserve">RICE, ARBORIO (BOH) 1 KG [RISO SCOTTI]</t>
  </si>
  <si>
    <t xml:space="preserve">OLIVE OIL, EUROPEAN BLEND 5L (OLITALIA)</t>
  </si>
  <si>
    <t xml:space="preserve">OLIVE OIL, EXTRA VIRGIN BOERI 169.1oz (ROI)</t>
  </si>
  <si>
    <t xml:space="preserve">PASTA, LINGUINI 35.3oz 1kg (AFELTRA)</t>
  </si>
  <si>
    <t xml:space="preserve">PASTA, SPAGHETTI 35.3oz (AFELTRA)</t>
  </si>
  <si>
    <t xml:space="preserve">RED DATTERINO, WITH JUICE 28.2oz 800gr (COSI COME) (F</t>
  </si>
  <si>
    <t xml:space="preserve">SALT, SICILIAN COARSE 2.2lb (ELIKA)</t>
  </si>
  <si>
    <t xml:space="preserve">BOTTARGA, GRATED MUGGINE (GRAY MULLET) G. MEXICO 2OZ RTL [DE</t>
  </si>
  <si>
    <t xml:space="preserve">Proteins - Seafood</t>
  </si>
  <si>
    <t xml:space="preserve">BURRATA 2 OZ BOH [CALABRO]</t>
  </si>
  <si>
    <t xml:space="preserve">BUTTER UNSALTED 80%</t>
  </si>
  <si>
    <t xml:space="preserve">CA36</t>
  </si>
  <si>
    <t xml:space="preserve">RICOTTA, FRESH HAND DIPPED (CALABRO)</t>
  </si>
  <si>
    <t xml:space="preserve">RICOTTAFINA [CALABRO]</t>
  </si>
  <si>
    <t xml:space="preserve">BALSAMIC VINEGAR 750 ML [LEONARDI SABA]</t>
  </si>
  <si>
    <t xml:space="preserve">CA6</t>
  </si>
  <si>
    <t xml:space="preserve">CAPERS IN SALT 5 LB [BEL ARIA]</t>
  </si>
  <si>
    <t xml:space="preserve">CORN STARCH</t>
  </si>
  <si>
    <t xml:space="preserve">FENNEL SEEDS, WHOLE</t>
  </si>
  <si>
    <t xml:space="preserve">FLOUR, ALL-PURPOSE</t>
  </si>
  <si>
    <t xml:space="preserve">FLOUR, WONDRA</t>
  </si>
  <si>
    <t xml:space="preserve">HEAVY CREAM QUART 36% [BARTLETT]</t>
  </si>
  <si>
    <t xml:space="preserve">MAYONNAISE EXTRA HEAVY 3.9 L</t>
  </si>
  <si>
    <t xml:space="preserve">MUSTARD SEED, WHOLE</t>
  </si>
  <si>
    <t xml:space="preserve">MUSTARD, DIJON SMOOTH</t>
  </si>
  <si>
    <t xml:space="preserve">OIL, CANOLA BLEND 75/25 CANOLA OLIVE OIL</t>
  </si>
  <si>
    <t xml:space="preserve">PEPPER, BLACK GROUND 5 LB</t>
  </si>
  <si>
    <t xml:space="preserve">PEPPER, CAYENNE</t>
  </si>
  <si>
    <t xml:space="preserve">RICE FLOUR FINE WHITE 50LB [COMET]</t>
  </si>
  <si>
    <t xml:space="preserve">SALT, SEA (MALDON)</t>
  </si>
  <si>
    <t xml:space="preserve">VINEGAR, BALSAMIC FROM MODENA 33.8 FL OZ (PONTI)</t>
  </si>
  <si>
    <t xml:space="preserve">WHITE CONDIMENT 5 L BOH</t>
  </si>
  <si>
    <t xml:space="preserve">YEAST FRESH</t>
  </si>
  <si>
    <t xml:space="preserve">BREAD CRUMBS</t>
  </si>
  <si>
    <t xml:space="preserve">FROZEN, LEMON ZEST 17.6 LB</t>
  </si>
  <si>
    <t xml:space="preserve">HONEY, CLOVER 5LB</t>
  </si>
  <si>
    <t xml:space="preserve">LIQUID EGG YOLK 2 LB [PAPETTI]</t>
  </si>
  <si>
    <t xml:space="preserve">PEAS, FROZEN</t>
  </si>
  <si>
    <t xml:space="preserve">SUGAR, EXTRA FINE GRANULATED</t>
  </si>
  <si>
    <t xml:space="preserve">TREBBIANO D'ABRUZZO, DONNA GIULIANA 1.5L</t>
  </si>
  <si>
    <t xml:space="preserve">CAGE FREE GRADE "A" LARGE EGGS</t>
  </si>
  <si>
    <t xml:space="preserve">PASTURE RAISED LIQUID EGGS (VITAL FARMS)</t>
  </si>
  <si>
    <t xml:space="preserve">ALMONDS WHOLE NATURAL [CAPITOL FOOD COMPANY]</t>
  </si>
  <si>
    <t xml:space="preserve">APRICOT JUMBO TURKISH [CAPITOL FOOD COMPANY]</t>
  </si>
  <si>
    <t xml:space="preserve">BEANS, FAVA FROZEN</t>
  </si>
  <si>
    <t xml:space="preserve">CAPERS, NON PAREIL IN BRINE</t>
  </si>
  <si>
    <t xml:space="preserve">FIG BLACK MISSION [CAPITOL FOOD COMPANY]</t>
  </si>
  <si>
    <t xml:space="preserve">HONEY, CLOVER</t>
  </si>
  <si>
    <t xml:space="preserve">PINE NUTS LARGE [CAPITOL FOOD COMPANY]</t>
  </si>
  <si>
    <t xml:space="preserve">PISTACHIO RAW NO SHELL [CAPITOL FOOD COMPANY]</t>
  </si>
  <si>
    <t xml:space="preserve">WALNUT HALVES</t>
  </si>
  <si>
    <t xml:space="preserve">WALNUT PIECES 5LB</t>
  </si>
  <si>
    <t xml:space="preserve">CHICKEN, BREAST BONELESS SKINLESS BULK ABF [FREEBIRD]</t>
  </si>
  <si>
    <t xml:space="preserve">Proteins - Meat</t>
  </si>
  <si>
    <t xml:space="preserve">SQUID, RINGS AND TENTACLES 7/8 CLEANED WILD FZ [RIGHT SQUID]</t>
  </si>
  <si>
    <t xml:space="preserve">80% UNSALTED BUTTER 1LB</t>
  </si>
  <si>
    <t xml:space="preserve">PEPPER, RED CRUSHED</t>
  </si>
  <si>
    <t xml:space="preserve">BEANS, GARBANZO DRY</t>
  </si>
  <si>
    <t xml:space="preserve">Sea Salt Flakes</t>
  </si>
  <si>
    <t xml:space="preserve">1162550</t>
  </si>
  <si>
    <t xml:space="preserve">FUSILLI BOH 160 OZ [GAROFALO]</t>
  </si>
  <si>
    <t xml:space="preserve">Garofalo Usa</t>
  </si>
  <si>
    <t xml:space="preserve">CACIO DE ROMA [BUONOTAVOLA]</t>
  </si>
  <si>
    <t xml:space="preserve">PECORINO ROMANO [GRANAROLO]</t>
  </si>
  <si>
    <t xml:space="preserve">FLOUR, BREAD TYPE 1 50 LB [MOLINO GRASSI]</t>
  </si>
  <si>
    <t xml:space="preserve">FLOUR, INTEGRALE WHOLE WHEAT FINE</t>
  </si>
  <si>
    <t xml:space="preserve">FLOUR, RINFORZATO BREAD TYPE 00 55 LB [MOLINO GRASSI]</t>
  </si>
  <si>
    <t xml:space="preserve">FLOUR, SEMOLINA [MOLINO GRASSI]</t>
  </si>
  <si>
    <t xml:space="preserve">SALT, SEA FINE 55LB [BORROMETI]</t>
  </si>
  <si>
    <t xml:space="preserve">MORTADELLA, NO PISTACHIO [ROVAGNATI]</t>
  </si>
  <si>
    <t xml:space="preserve">PROSCIUTTO COTTO VERDE (SAPORE RICCO) [ROVAGNATI]</t>
  </si>
  <si>
    <t xml:space="preserve">PROSCIUTTO, 14 MONTH [FERRARINI]</t>
  </si>
  <si>
    <t xml:space="preserve">SALAME NAPOLI [ROVAGNATI]</t>
  </si>
  <si>
    <t xml:space="preserve">COPPA, DOP (I PIACENTINI)</t>
  </si>
  <si>
    <t xml:space="preserve">PANCETTA, DOP (I PIACENTINI)</t>
  </si>
  <si>
    <t xml:space="preserve">LOBSTER, BODIES</t>
  </si>
  <si>
    <t xml:space="preserve">SALMON, ATLANTIC FILET D-CUT 10-12LB FARMED</t>
  </si>
  <si>
    <t xml:space="preserve">SHRIMP, DIAMOND BLUE 16/20 P&amp;D TAIL-ON WILD FZ PACIFIC [MEXI</t>
  </si>
  <si>
    <t xml:space="preserve">LARD, PORK BULK [MORRELL]</t>
  </si>
  <si>
    <t xml:space="preserve">PORK, COARSE CHOPPED 1/2 GRIND</t>
  </si>
  <si>
    <t xml:space="preserve">OIL, MUSTARD</t>
  </si>
  <si>
    <t xml:space="preserve">⚠ Validate</t>
  </si>
  <si>
    <t xml:space="preserve">BRANDY, BLANSAC</t>
  </si>
  <si>
    <t xml:space="preserve">BRESAOLA (BERETTA)</t>
  </si>
  <si>
    <t xml:space="preserve">MALT, DIASTATIC POWDER</t>
  </si>
  <si>
    <t xml:space="preserve">MONTEPULCIANO D'ABRUZZO, DONNA GIULIANA</t>
  </si>
  <si>
    <t xml:space="preserve">WATER, FOR RECIPES ONLY</t>
  </si>
  <si>
    <t xml:space="preserve">ML</t>
  </si>
  <si>
    <t xml:space="preserve">BEEF, 80/20 COARSE CHOPPED GRIND [DOUBLE R RANCH]</t>
  </si>
  <si>
    <t xml:space="preserve">BEEF, CHOICE 0X1 STRIPLOIN [DOUBLE R RANCH]</t>
  </si>
  <si>
    <t xml:space="preserve">WAGYU, CHUCK ZABUTON- BLACK [SNAKE RIVER FARMS]</t>
  </si>
  <si>
    <t xml:space="preserve">MOZZARELLA, CURD [TOSCANA]</t>
  </si>
  <si>
    <t xml:space="preserve">BRANZINO, WHOLE 400-600G FARMED GREECE</t>
  </si>
  <si>
    <t xml:space="preserve">CLAMS, MANILA WILD WASHINGTON</t>
  </si>
  <si>
    <t xml:space="preserve">MUSSELS, PEI 10LB BAG FARMED</t>
  </si>
  <si>
    <t xml:space="preserve">BUTTER, BLACK TRUFFLE 16oz (URBANI)</t>
  </si>
  <si>
    <t xml:space="preserve">TRUFFLES, BLACK SUMMER SMALL (UP TO 15G) FRESH [URBANI]</t>
  </si>
  <si>
    <t xml:space="preserve">GR</t>
  </si>
  <si>
    <t xml:space="preserve">BLACK TRUFFLE CARPACCIO, SHAVED TRUFFLES 6.3 OZ (URBANI)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</si>
</sst>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2"/>
      <charset val="1"/>
    </font>
    <font>
      <i val="true"/>
      <sz val="9"/>
      <color rgb="FF475569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8"/>
      <color rgb="FFFFFFFF"/>
      <name val="Calibri"/>
      <family val="2"/>
      <charset val="1"/>
    </font>
    <font>
      <b val="true"/>
      <sz val="8"/>
      <color rgb="FF555555"/>
      <name val="Calibri"/>
      <family val="2"/>
      <charset val="1"/>
    </font>
    <font>
      <i val="true"/>
      <sz val="8"/>
      <color rgb="FF475569"/>
      <name val="Calibri"/>
      <family val="2"/>
      <charset val="1"/>
    </font>
    <font>
      <sz val="9"/>
      <color rgb="FF475569"/>
      <name val="Calibri"/>
      <family val="2"/>
      <charset val="1"/>
    </font>
    <font>
      <b val="true"/>
      <sz val="9"/>
      <color rgb="FF1E1E1E"/>
      <name val="Calibri"/>
      <family val="2"/>
      <charset val="1"/>
    </font>
    <font>
      <sz val="8"/>
      <color rgb="FF475569"/>
      <name val="Calibri"/>
      <family val="2"/>
      <charset val="1"/>
    </font>
    <font>
      <sz val="9"/>
      <color rgb="FF1E1E1E"/>
      <name val="Calibri"/>
      <family val="2"/>
      <charset val="1"/>
    </font>
    <font>
      <sz val="9"/>
      <color rgb="FFCCCCCC"/>
      <name val="Calibri"/>
      <family val="2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FFFF"/>
      <name val="Calibri"/>
      <family val="2"/>
      <charset val="1"/>
    </font>
    <font>
      <b val="true"/>
      <sz val="9"/>
      <color rgb="FF27500A"/>
      <name val="Calibri"/>
      <family val="2"/>
      <charset val="1"/>
    </font>
    <font>
      <sz val="8"/>
      <color rgb="FF92400E"/>
      <name val="Calibri"/>
      <family val="2"/>
      <charset val="1"/>
    </font>
    <font>
      <sz val="8"/>
      <color rgb="FF27500A"/>
      <name val="Calibri"/>
      <family val="2"/>
      <charset val="1"/>
    </font>
    <font>
      <b val="true"/>
      <sz val="9"/>
      <color rgb="FF1E4F72"/>
      <name val="Calibri"/>
      <family val="2"/>
      <charset val="1"/>
    </font>
    <font>
      <sz val="9"/>
      <color rgb="FF333333"/>
      <name val="Calibri"/>
      <family val="2"/>
      <charset val="1"/>
    </font>
    <font>
      <b val="true"/>
      <sz val="9"/>
      <color rgb="FF92400E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1B6931"/>
        <bgColor rgb="FF2D6A4F"/>
      </patternFill>
    </fill>
    <fill>
      <patternFill patternType="solid">
        <fgColor rgb="FFFDF0F3"/>
        <bgColor rgb="FFFFF0E6"/>
      </patternFill>
    </fill>
    <fill>
      <patternFill patternType="solid">
        <fgColor rgb="FF3A3A3A"/>
        <bgColor rgb="FF333333"/>
      </patternFill>
    </fill>
    <fill>
      <patternFill patternType="solid">
        <fgColor rgb="FF1E3A5F"/>
        <bgColor rgb="FF2C3E7A"/>
      </patternFill>
    </fill>
    <fill>
      <patternFill patternType="solid">
        <fgColor rgb="FFFFF8E1"/>
        <bgColor rgb="FFFDF6F0"/>
      </patternFill>
    </fill>
    <fill>
      <patternFill patternType="solid">
        <fgColor rgb="FFFFFFFF"/>
        <bgColor rgb="FFFFFFF0"/>
      </patternFill>
    </fill>
    <fill>
      <patternFill patternType="solid">
        <fgColor rgb="FFFDF6F0"/>
        <bgColor rgb="FFFDF0F3"/>
      </patternFill>
    </fill>
    <fill>
      <patternFill patternType="solid">
        <fgColor rgb="FFF5F5F5"/>
        <bgColor rgb="FFF1F5F9"/>
      </patternFill>
    </fill>
    <fill>
      <patternFill patternType="solid">
        <fgColor rgb="FFE8F5E9"/>
        <bgColor rgb="FFEAF3DE"/>
      </patternFill>
    </fill>
    <fill>
      <patternFill patternType="solid">
        <fgColor rgb="FFF1F8E9"/>
        <bgColor rgb="FFF5F5F5"/>
      </patternFill>
    </fill>
    <fill>
      <patternFill patternType="solid">
        <fgColor rgb="FF2D6A4F"/>
        <bgColor rgb="FF1B6963"/>
      </patternFill>
    </fill>
    <fill>
      <patternFill patternType="solid">
        <fgColor rgb="FFFFFFF0"/>
        <bgColor rgb="FFFFFFFF"/>
      </patternFill>
    </fill>
    <fill>
      <patternFill patternType="solid">
        <fgColor rgb="FF7B1832"/>
        <bgColor rgb="FF800000"/>
      </patternFill>
    </fill>
    <fill>
      <patternFill patternType="solid">
        <fgColor rgb="FFFFF0E6"/>
        <bgColor rgb="FFFDF0F3"/>
      </patternFill>
    </fill>
    <fill>
      <patternFill patternType="solid">
        <fgColor rgb="FF4A4A8A"/>
        <bgColor rgb="FF475569"/>
      </patternFill>
    </fill>
    <fill>
      <patternFill patternType="solid">
        <fgColor rgb="FF7A4419"/>
        <bgColor rgb="FF92400E"/>
      </patternFill>
    </fill>
    <fill>
      <patternFill patternType="solid">
        <fgColor rgb="FF4A6741"/>
        <bgColor rgb="FF555555"/>
      </patternFill>
    </fill>
    <fill>
      <patternFill patternType="solid">
        <fgColor rgb="FFE6F4FF"/>
        <bgColor rgb="FFF1F5F9"/>
      </patternFill>
    </fill>
    <fill>
      <patternFill patternType="solid">
        <fgColor rgb="FF6B3A6B"/>
        <bgColor rgb="FF4A4A8A"/>
      </patternFill>
    </fill>
    <fill>
      <patternFill patternType="solid">
        <fgColor rgb="FFFBE9E7"/>
        <bgColor rgb="FFFFF0E6"/>
      </patternFill>
    </fill>
    <fill>
      <patternFill patternType="solid">
        <fgColor rgb="FFB45309"/>
        <bgColor rgb="FF92400E"/>
      </patternFill>
    </fill>
    <fill>
      <patternFill patternType="solid">
        <fgColor rgb="FF2C3E7A"/>
        <bgColor rgb="FF1E3A5F"/>
      </patternFill>
    </fill>
    <fill>
      <patternFill patternType="solid">
        <fgColor rgb="FF1B6963"/>
        <bgColor rgb="FF2D6A4F"/>
      </patternFill>
    </fill>
    <fill>
      <patternFill patternType="solid">
        <fgColor rgb="FF1B4F72"/>
        <bgColor rgb="FF1E4F72"/>
      </patternFill>
    </fill>
    <fill>
      <patternFill patternType="solid">
        <fgColor rgb="FF1B4F4A"/>
        <bgColor rgb="FF1B4F72"/>
      </patternFill>
    </fill>
    <fill>
      <patternFill patternType="solid">
        <fgColor rgb="FFF1F5F9"/>
        <bgColor rgb="FFF5F5F5"/>
      </patternFill>
    </fill>
    <fill>
      <patternFill patternType="solid">
        <fgColor rgb="FFEAF3DE"/>
        <bgColor rgb="FFE8F5E9"/>
      </patternFill>
    </fill>
    <fill>
      <patternFill patternType="solid">
        <fgColor rgb="FFFEF3C7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27500A"/>
        <sz val="9"/>
      </font>
      <fill>
        <patternFill>
          <bgColor rgb="FFEAF3DE"/>
        </patternFill>
      </fill>
    </dxf>
    <dxf>
      <font>
        <name val="Calibri"/>
        <charset val="1"/>
        <family val="0"/>
        <b val="1"/>
        <color rgb="FF92400E"/>
        <sz val="9"/>
      </font>
      <fill>
        <patternFill>
          <bgColor rgb="FFFEF3C7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FDF0F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7B1832"/>
      <rgbColor rgb="FF1B6931"/>
      <rgbColor rgb="FF1B4F4A"/>
      <rgbColor rgb="FF555555"/>
      <rgbColor rgb="FF800080"/>
      <rgbColor rgb="FF1B6963"/>
      <rgbColor rgb="FFCCCCCC"/>
      <rgbColor rgb="FF4A6741"/>
      <rgbColor rgb="FFF5F5F5"/>
      <rgbColor rgb="FF6B3A6B"/>
      <rgbColor rgb="FFFFF8E1"/>
      <rgbColor rgb="FFE6F4FF"/>
      <rgbColor rgb="FF660066"/>
      <rgbColor rgb="FFFF8080"/>
      <rgbColor rgb="FF1B4F72"/>
      <rgbColor rgb="FFE2E8F0"/>
      <rgbColor rgb="FF27500A"/>
      <rgbColor rgb="FFFF00FF"/>
      <rgbColor rgb="FFFFFFF0"/>
      <rgbColor rgb="FF00FFFF"/>
      <rgbColor rgb="FF800080"/>
      <rgbColor rgb="FF800000"/>
      <rgbColor rgb="FF2D6A4F"/>
      <rgbColor rgb="FF0000FF"/>
      <rgbColor rgb="FF00CCFF"/>
      <rgbColor rgb="FFE8F5E9"/>
      <rgbColor rgb="FFEAF3DE"/>
      <rgbColor rgb="FFFEF3C7"/>
      <rgbColor rgb="FFF1F5F9"/>
      <rgbColor rgb="FFFFF0E6"/>
      <rgbColor rgb="FFFDF0F3"/>
      <rgbColor rgb="FFFBE9E7"/>
      <rgbColor rgb="FF4A4A8A"/>
      <rgbColor rgb="FF33CCCC"/>
      <rgbColor rgb="FF99CC00"/>
      <rgbColor rgb="FFFDF6F0"/>
      <rgbColor rgb="FFFF9900"/>
      <rgbColor rgb="FFB45309"/>
      <rgbColor rgb="FF475569"/>
      <rgbColor rgb="FF969696"/>
      <rgbColor rgb="FF1E3A5F"/>
      <rgbColor rgb="FF1E4F72"/>
      <rgbColor rgb="FF1E1E1E"/>
      <rgbColor rgb="FF3A3A3A"/>
      <rgbColor rgb="FF92400E"/>
      <rgbColor rgb="FF7A4419"/>
      <rgbColor rgb="FF2C3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ctrlProps/ctrlProps3.xml><?xml version="1.0" encoding="utf-8"?>
<formControlPr xmlns="http://schemas.microsoft.com/office/spreadsheetml/2009/9/main" objectType="Button" lockText="1"/>
</file>

<file path=xl/ctrlProps/ctrlProps4.xml><?xml version="1.0" encoding="utf-8"?>
<formControlPr xmlns="http://schemas.microsoft.com/office/spreadsheetml/2009/9/main" objectType="Button" lockText="1"/>
</file>

<file path=xl/ctrlProps/ctrlProps6.xml><?xml version="1.0" encoding="utf-8"?>
<formControlPr xmlns="http://schemas.microsoft.com/office/spreadsheetml/2009/9/main" objectType="Button" lockText="1"/>
</file>

<file path=xl/ctrlProps/ctrlProps7.xml><?xml version="1.0" encoding="utf-8"?>
<formControlPr xmlns="http://schemas.microsoft.com/office/spreadsheetml/2009/9/main" objectType="Button" lockText="1"/>
</file>

<file path=xl/ctrlProps/ctrlProps8.xml><?xml version="1.0" encoding="utf-8"?>
<formControlPr xmlns="http://schemas.microsoft.com/office/spreadsheetml/2009/9/main" objectType="Button" lockText="1"/>
</file>

<file path=xl/ctrlProps/ctrlProps10.xml><?xml version="1.0" encoding="utf-8"?>
<formControlPr xmlns="http://schemas.microsoft.com/office/spreadsheetml/2009/9/main" objectType="Button" lockText="1"/>
</file>

<file path=xl/ctrlProps/ctrlProps11.xml><?xml version="1.0" encoding="utf-8"?>
<formControlPr xmlns="http://schemas.microsoft.com/office/spreadsheetml/2009/9/main" objectType="Button" lockText="1"/>
</file>

<file path=xl/ctrlProps/ctrlProps12.xml><?xml version="1.0" encoding="utf-8"?>
<formControlPr xmlns="http://schemas.microsoft.com/office/spreadsheetml/2009/9/main" objectType="Button" lockText="1"/>
</file>

<file path=xl/ctrlProps/ctrlProps14.xml><?xml version="1.0" encoding="utf-8"?>
<formControlPr xmlns="http://schemas.microsoft.com/office/spreadsheetml/2009/9/main" objectType="Button" lockText="1"/>
</file>

<file path=xl/ctrlProps/ctrlProps15.xml><?xml version="1.0" encoding="utf-8"?>
<formControlPr xmlns="http://schemas.microsoft.com/office/spreadsheetml/2009/9/main" objectType="Button" lockText="1"/>
</file>

<file path=xl/ctrlProps/ctrlProps1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pp1" descr="Refresh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Refresh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pp2" descr="Show All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Show All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pp3" descr="Export Lis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Export List</a:t>
              </a:r>
            </a:p>
          </xdr:txBody>
        </xdr:sp>
        <xdr:clientData/>
      </xdr:twoCellAnchor>
    </mc:Choice>
  </mc:AlternateContent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pe1" descr="Refresh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Refresh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pe2" descr="Show All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Show All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pe3" descr="Export Lis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Export List</a:t>
              </a:r>
            </a:p>
          </xdr:txBody>
        </xdr:sp>
        <xdr:clientData/>
      </xdr:twoCellAnchor>
    </mc:Choice>
  </mc:AlternateContent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pr1" descr="Refresh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Refresh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pr2" descr="Show All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Show All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pr3" descr="Export Lis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Export List</a:t>
              </a:r>
            </a:p>
          </xdr:txBody>
        </xdr:sp>
        <xdr:clientData/>
      </xdr:twoCellAnchor>
    </mc:Choice>
  </mc:AlternateContent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re1" descr="Refresh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Refresh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re2" descr="Show All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Show All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re3" descr="Export Lis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Export List</a:t>
              </a:r>
            </a:p>
          </xdr:txBody>
        </xdr:sp>
        <xdr:clientData/>
      </xdr:twoCellAnchor>
    </mc:Choice>
  </mc:AlternateContent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2.vml"/><Relationship Id="rId3" Type="http://schemas.openxmlformats.org/officeDocument/2006/relationships/ctrlProp" Target="../ctrlProps/ctrlProps6.xml"/><Relationship Id="rId4" Type="http://schemas.openxmlformats.org/officeDocument/2006/relationships/ctrlProp" Target="../ctrlProps/ctrlProps7.xml"/><Relationship Id="rId5" Type="http://schemas.openxmlformats.org/officeDocument/2006/relationships/ctrlProp" Target="../ctrlProps/ctrlProps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3.vml"/><Relationship Id="rId3" Type="http://schemas.openxmlformats.org/officeDocument/2006/relationships/ctrlProp" Target="../ctrlProps/ctrlProps10.xml"/><Relationship Id="rId4" Type="http://schemas.openxmlformats.org/officeDocument/2006/relationships/ctrlProp" Target="../ctrlProps/ctrlProps11.xml"/><Relationship Id="rId5" Type="http://schemas.openxmlformats.org/officeDocument/2006/relationships/ctrlProp" Target="../ctrlProps/ctrlProps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4.vml"/><Relationship Id="rId3" Type="http://schemas.openxmlformats.org/officeDocument/2006/relationships/ctrlProp" Target="../ctrlProps/ctrlProps14.xml"/><Relationship Id="rId4" Type="http://schemas.openxmlformats.org/officeDocument/2006/relationships/ctrlProp" Target="../ctrlProps/ctrlProps15.xml"/><Relationship Id="rId5" Type="http://schemas.openxmlformats.org/officeDocument/2006/relationships/ctrlProp" Target="../ctrlProps/ctrlProps1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931"/>
    <pageSetUpPr fitToPage="false"/>
  </sheetPr>
  <dimension ref="A1:N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13" min="7" style="1" width="13"/>
    <col collapsed="false" customWidth="true" hidden="true" outlineLevel="0" max="14" min="14" style="1" width="8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.75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tr">
        <f aca="true">TEXT(TODAY()-WEEKDAY(TODAY(),2)+1,"D-MMM")</f>
        <v>6-Apr</v>
      </c>
      <c r="H4" s="5" t="str">
        <f aca="true">TEXT(TODAY()-WEEKDAY(TODAY(),2)+2,"D-MMM")</f>
        <v>7-Apr</v>
      </c>
      <c r="I4" s="5" t="str">
        <f aca="true">TEXT(TODAY()-WEEKDAY(TODAY(),2)+3,"D-MMM")</f>
        <v>8-Apr</v>
      </c>
      <c r="J4" s="5" t="str">
        <f aca="true">TEXT(TODAY()-WEEKDAY(TODAY(),2)+4,"D-MMM")</f>
        <v>9-Apr</v>
      </c>
      <c r="K4" s="5" t="str">
        <f aca="true">TEXT(TODAY()-WEEKDAY(TODAY(),2)+5,"D-MMM")</f>
        <v>10-Apr</v>
      </c>
      <c r="L4" s="5" t="str">
        <f aca="true">TEXT(TODAY()-WEEKDAY(TODAY(),2)+6,"D-MMM")</f>
        <v>11-Apr</v>
      </c>
      <c r="M4" s="5" t="str">
        <f aca="true">TEXT(TODAY()-WEEKDAY(TODAY(),2)+7,"D-MMM")</f>
        <v>12-Apr</v>
      </c>
    </row>
    <row r="5" customFormat="false" ht="19.5" hidden="false" customHeight="true" outlineLevel="0" collapsed="false">
      <c r="A5" s="6" t="s">
        <v>8</v>
      </c>
      <c r="B5" s="6"/>
      <c r="C5" s="7" t="s">
        <v>9</v>
      </c>
      <c r="D5" s="7"/>
      <c r="E5" s="7"/>
      <c r="F5" s="8" t="s">
        <v>10</v>
      </c>
      <c r="G5" s="8"/>
      <c r="H5" s="8"/>
      <c r="I5" s="8"/>
      <c r="J5" s="8"/>
      <c r="K5" s="8"/>
      <c r="L5" s="8"/>
      <c r="M5" s="8"/>
      <c r="N5" s="1" t="s">
        <v>11</v>
      </c>
    </row>
    <row r="6" customFormat="false" ht="12.7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" t="s">
        <v>13</v>
      </c>
    </row>
    <row r="7" customFormat="false" ht="15" hidden="false" customHeight="true" outlineLevel="0" collapsed="false">
      <c r="A7" s="10" t="str">
        <f aca="false">IFERROR(VLOOKUP(B7,'Product Master'!$A:$C,3,0),"")</f>
        <v>BALDOR</v>
      </c>
      <c r="B7" s="11" t="s">
        <v>14</v>
      </c>
      <c r="C7" s="12" t="str">
        <f aca="false">IFERROR(VLOOKUP(B7,'Product Master'!$A:$B,2,0),"")</f>
        <v>HEAVY CREAM 36% UHT QUART [FARMLAND FRESH]</v>
      </c>
      <c r="D7" s="13" t="str">
        <f aca="false">IFERROR(VLOOKUP(B7,'Product Master'!$A:$E,5,0),"")</f>
        <v>CA12</v>
      </c>
      <c r="E7" s="14" t="str">
        <f aca="false">IFERROR(VLOOKUP(B7,'Product Master'!$A:$D,4,0),"")</f>
        <v>Dry Goods &amp; Pantry</v>
      </c>
      <c r="F7" s="15"/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15</v>
      </c>
      <c r="L7" s="16" t="s">
        <v>15</v>
      </c>
      <c r="M7" s="16" t="s">
        <v>15</v>
      </c>
      <c r="N7" s="1" t="s">
        <v>16</v>
      </c>
    </row>
    <row r="8" customFormat="false" ht="15" hidden="false" customHeight="true" outlineLevel="0" collapsed="false">
      <c r="A8" s="17" t="str">
        <f aca="false">IFERROR(VLOOKUP(B8,'Product Master'!$A:$C,3,0),"")</f>
        <v>BALDOR</v>
      </c>
      <c r="B8" s="18" t="s">
        <v>17</v>
      </c>
      <c r="C8" s="19" t="str">
        <f aca="false">IFERROR(VLOOKUP(B8,'Product Master'!$A:$B,2,0),"")</f>
        <v>PEPPER, BLACK WHOLE</v>
      </c>
      <c r="D8" s="20" t="str">
        <f aca="false">IFERROR(VLOOKUP(B8,'Product Master'!$A:$E,5,0),"")</f>
        <v>ea</v>
      </c>
      <c r="E8" s="14" t="str">
        <f aca="false">IFERROR(VLOOKUP(B8,'Product Master'!$A:$D,4,0),"")</f>
        <v>Dry Goods &amp; Pantry</v>
      </c>
      <c r="F8" s="21"/>
      <c r="G8" s="22" t="s">
        <v>15</v>
      </c>
      <c r="H8" s="22" t="s">
        <v>15</v>
      </c>
      <c r="I8" s="22" t="s">
        <v>15</v>
      </c>
      <c r="J8" s="22" t="s">
        <v>15</v>
      </c>
      <c r="K8" s="22" t="s">
        <v>15</v>
      </c>
      <c r="L8" s="22" t="s">
        <v>15</v>
      </c>
      <c r="M8" s="22" t="s">
        <v>15</v>
      </c>
      <c r="N8" s="1" t="s">
        <v>18</v>
      </c>
    </row>
    <row r="9" customFormat="false" ht="12.75" hidden="false" customHeight="true" outlineLevel="0" collapsed="false">
      <c r="A9" s="23" t="s">
        <v>19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1" t="s">
        <v>13</v>
      </c>
    </row>
    <row r="10" customFormat="false" ht="15" hidden="false" customHeight="true" outlineLevel="0" collapsed="false">
      <c r="A10" s="10" t="str">
        <f aca="false">IFERROR(VLOOKUP(B10,'Product Master'!$A:$C,3,0),"")</f>
        <v>BALDOR</v>
      </c>
      <c r="B10" s="11" t="s">
        <v>20</v>
      </c>
      <c r="C10" s="12" t="str">
        <f aca="false">IFERROR(VLOOKUP(B10,'Product Master'!$A:$B,2,0),"")</f>
        <v>ASPARAGUS, LARGE</v>
      </c>
      <c r="D10" s="13" t="str">
        <f aca="false">IFERROR(VLOOKUP(B10,'Product Master'!$A:$E,5,0),"")</f>
        <v>ea</v>
      </c>
      <c r="E10" s="24" t="str">
        <f aca="false">IFERROR(VLOOKUP(B10,'Product Master'!$A:$D,4,0),"")</f>
        <v>Other</v>
      </c>
      <c r="F10" s="15"/>
      <c r="G10" s="16" t="s">
        <v>15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15</v>
      </c>
      <c r="M10" s="16" t="s">
        <v>15</v>
      </c>
      <c r="N10" s="1" t="s">
        <v>21</v>
      </c>
    </row>
    <row r="11" customFormat="false" ht="15" hidden="false" customHeight="true" outlineLevel="0" collapsed="false">
      <c r="A11" s="17" t="str">
        <f aca="false">IFERROR(VLOOKUP(B11,'Product Master'!$A:$C,3,0),"")</f>
        <v>BALDOR</v>
      </c>
      <c r="B11" s="18" t="s">
        <v>22</v>
      </c>
      <c r="C11" s="19" t="str">
        <f aca="false">IFERROR(VLOOKUP(B11,'Product Master'!$A:$B,2,0),"")</f>
        <v>CARROT, BULK JUMBO/LARGE</v>
      </c>
      <c r="D11" s="20" t="str">
        <f aca="false">IFERROR(VLOOKUP(B11,'Product Master'!$A:$E,5,0),"")</f>
        <v>ea</v>
      </c>
      <c r="E11" s="24" t="str">
        <f aca="false">IFERROR(VLOOKUP(B11,'Product Master'!$A:$D,4,0),"")</f>
        <v>Other</v>
      </c>
      <c r="F11" s="21"/>
      <c r="G11" s="22" t="s">
        <v>15</v>
      </c>
      <c r="H11" s="22" t="s">
        <v>15</v>
      </c>
      <c r="I11" s="22" t="s">
        <v>15</v>
      </c>
      <c r="J11" s="22" t="s">
        <v>15</v>
      </c>
      <c r="K11" s="22" t="s">
        <v>15</v>
      </c>
      <c r="L11" s="22" t="s">
        <v>15</v>
      </c>
      <c r="M11" s="22" t="s">
        <v>15</v>
      </c>
      <c r="N11" s="1" t="s">
        <v>23</v>
      </c>
    </row>
    <row r="12" customFormat="false" ht="12.75" hidden="false" customHeight="true" outlineLevel="0" collapsed="false">
      <c r="A12" s="25" t="s">
        <v>24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1" t="s">
        <v>13</v>
      </c>
    </row>
    <row r="13" customFormat="false" ht="15" hidden="false" customHeight="true" outlineLevel="0" collapsed="false">
      <c r="A13" s="10" t="str">
        <f aca="false">IFERROR(VLOOKUP(B13,'Product Master'!$A:$C,3,0),"")</f>
        <v>BALDOR</v>
      </c>
      <c r="B13" s="11" t="s">
        <v>25</v>
      </c>
      <c r="C13" s="12" t="str">
        <f aca="false">IFERROR(VLOOKUP(B13,'Product Master'!$A:$B,2,0),"")</f>
        <v>EGGS, LARGE AA</v>
      </c>
      <c r="D13" s="13" t="str">
        <f aca="false">IFERROR(VLOOKUP(B13,'Product Master'!$A:$E,5,0),"")</f>
        <v>CA180</v>
      </c>
      <c r="E13" s="26" t="str">
        <f aca="false">IFERROR(VLOOKUP(B13,'Product Master'!$A:$D,4,0),"")</f>
        <v>Produce - Herbs</v>
      </c>
      <c r="F13" s="15"/>
      <c r="G13" s="16" t="s">
        <v>15</v>
      </c>
      <c r="H13" s="16" t="s">
        <v>15</v>
      </c>
      <c r="I13" s="16" t="s">
        <v>15</v>
      </c>
      <c r="J13" s="16" t="s">
        <v>15</v>
      </c>
      <c r="K13" s="16" t="s">
        <v>15</v>
      </c>
      <c r="L13" s="16" t="s">
        <v>15</v>
      </c>
      <c r="M13" s="16" t="s">
        <v>15</v>
      </c>
      <c r="N13" s="1" t="s">
        <v>26</v>
      </c>
    </row>
    <row r="14" customFormat="false" ht="15" hidden="false" customHeight="true" outlineLevel="0" collapsed="false">
      <c r="A14" s="17" t="str">
        <f aca="false">IFERROR(VLOOKUP(B14,'Product Master'!$A:$C,3,0),"")</f>
        <v>BALDOR</v>
      </c>
      <c r="B14" s="18" t="s">
        <v>27</v>
      </c>
      <c r="C14" s="19" t="str">
        <f aca="false">IFERROR(VLOOKUP(B14,'Product Master'!$A:$B,2,0),"")</f>
        <v>LIQUID EGG, WHOLE</v>
      </c>
      <c r="D14" s="20" t="str">
        <f aca="false">IFERROR(VLOOKUP(B14,'Product Master'!$A:$E,5,0),"")</f>
        <v>CA15</v>
      </c>
      <c r="E14" s="26" t="str">
        <f aca="false">IFERROR(VLOOKUP(B14,'Product Master'!$A:$D,4,0),"")</f>
        <v>Produce - Herbs</v>
      </c>
      <c r="F14" s="21"/>
      <c r="G14" s="22" t="s">
        <v>15</v>
      </c>
      <c r="H14" s="22" t="s">
        <v>15</v>
      </c>
      <c r="I14" s="22" t="s">
        <v>15</v>
      </c>
      <c r="J14" s="22" t="s">
        <v>15</v>
      </c>
      <c r="K14" s="22" t="s">
        <v>15</v>
      </c>
      <c r="L14" s="22" t="s">
        <v>15</v>
      </c>
      <c r="M14" s="22" t="s">
        <v>15</v>
      </c>
      <c r="N14" s="1" t="s">
        <v>28</v>
      </c>
    </row>
    <row r="15" customFormat="false" ht="15" hidden="false" customHeight="true" outlineLevel="0" collapsed="false">
      <c r="A15" s="10" t="str">
        <f aca="false">IFERROR(VLOOKUP(B15,'Product Master'!$A:$C,3,0),"")</f>
        <v>BALDOR</v>
      </c>
      <c r="B15" s="11" t="s">
        <v>29</v>
      </c>
      <c r="C15" s="12" t="str">
        <f aca="false">IFERROR(VLOOKUP(B15,'Product Master'!$A:$B,2,0),"")</f>
        <v>MILK, WHOLE</v>
      </c>
      <c r="D15" s="13" t="str">
        <f aca="false">IFERROR(VLOOKUP(B15,'Product Master'!$A:$E,5,0),"")</f>
        <v>ea</v>
      </c>
      <c r="E15" s="26" t="str">
        <f aca="false">IFERROR(VLOOKUP(B15,'Product Master'!$A:$D,4,0),"")</f>
        <v>Produce - Herbs</v>
      </c>
      <c r="F15" s="15"/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" t="s">
        <v>30</v>
      </c>
    </row>
    <row r="16" customFormat="false" ht="12.75" hidden="false" customHeight="true" outlineLevel="0" collapsed="false">
      <c r="A16" s="27" t="s">
        <v>31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" t="s">
        <v>13</v>
      </c>
    </row>
    <row r="17" customFormat="false" ht="15" hidden="false" customHeight="true" outlineLevel="0" collapsed="false">
      <c r="A17" s="10" t="str">
        <f aca="false">IFERROR(VLOOKUP(B17,'Product Master'!$A:$C,3,0),"")</f>
        <v>BALDOR</v>
      </c>
      <c r="B17" s="11" t="s">
        <v>32</v>
      </c>
      <c r="C17" s="12" t="str">
        <f aca="false">IFERROR(VLOOKUP(B17,'Product Master'!$A:$B,2,0),"")</f>
        <v>ARTICHOKES, BABY</v>
      </c>
      <c r="D17" s="13" t="str">
        <f aca="false">IFERROR(VLOOKUP(B17,'Product Master'!$A:$E,5,0),"")</f>
        <v>CA20</v>
      </c>
      <c r="E17" s="28" t="str">
        <f aca="false">IFERROR(VLOOKUP(B17,'Product Master'!$A:$D,4,0),"")</f>
        <v>Produce - Veg &amp; Fruit</v>
      </c>
      <c r="F17" s="15"/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" t="s">
        <v>33</v>
      </c>
    </row>
    <row r="18" customFormat="false" ht="15" hidden="false" customHeight="true" outlineLevel="0" collapsed="false">
      <c r="A18" s="17" t="str">
        <f aca="false">IFERROR(VLOOKUP(B18,'Product Master'!$A:$C,3,0),"")</f>
        <v>BALDOR</v>
      </c>
      <c r="B18" s="18" t="s">
        <v>34</v>
      </c>
      <c r="C18" s="19" t="str">
        <f aca="false">IFERROR(VLOOKUP(B18,'Product Master'!$A:$B,2,0),"")</f>
        <v>ARUGULA, BABY BULK 1.5LB [B&amp;W]</v>
      </c>
      <c r="D18" s="20" t="str">
        <f aca="false">IFERROR(VLOOKUP(B18,'Product Master'!$A:$E,5,0),"")</f>
        <v>CA2</v>
      </c>
      <c r="E18" s="28" t="str">
        <f aca="false">IFERROR(VLOOKUP(B18,'Product Master'!$A:$D,4,0),"")</f>
        <v>Produce - Veg &amp; Fruit</v>
      </c>
      <c r="F18" s="21"/>
      <c r="G18" s="22" t="s">
        <v>15</v>
      </c>
      <c r="H18" s="22" t="s">
        <v>15</v>
      </c>
      <c r="I18" s="22" t="s">
        <v>15</v>
      </c>
      <c r="J18" s="22" t="s">
        <v>15</v>
      </c>
      <c r="K18" s="22" t="s">
        <v>15</v>
      </c>
      <c r="L18" s="22" t="s">
        <v>15</v>
      </c>
      <c r="M18" s="22" t="s">
        <v>15</v>
      </c>
      <c r="N18" s="1" t="s">
        <v>35</v>
      </c>
    </row>
    <row r="19" customFormat="false" ht="15" hidden="false" customHeight="true" outlineLevel="0" collapsed="false">
      <c r="A19" s="10" t="str">
        <f aca="false">IFERROR(VLOOKUP(B19,'Product Master'!$A:$C,3,0),"")</f>
        <v>BALDOR</v>
      </c>
      <c r="B19" s="11" t="s">
        <v>36</v>
      </c>
      <c r="C19" s="12" t="str">
        <f aca="false">IFERROR(VLOOKUP(B19,'Product Master'!$A:$B,2,0),"")</f>
        <v>BEETS, RED MED-LARGE LOOSE</v>
      </c>
      <c r="D19" s="13" t="str">
        <f aca="false">IFERROR(VLOOKUP(B19,'Product Master'!$A:$E,5,0),"")</f>
        <v>CA25</v>
      </c>
      <c r="E19" s="28" t="str">
        <f aca="false">IFERROR(VLOOKUP(B19,'Product Master'!$A:$D,4,0),"")</f>
        <v>Produce - Veg &amp; Fruit</v>
      </c>
      <c r="F19" s="15"/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" t="s">
        <v>37</v>
      </c>
    </row>
    <row r="20" customFormat="false" ht="15" hidden="false" customHeight="true" outlineLevel="0" collapsed="false">
      <c r="A20" s="17" t="str">
        <f aca="false">IFERROR(VLOOKUP(B20,'Product Master'!$A:$C,3,0),"")</f>
        <v>BALDOR</v>
      </c>
      <c r="B20" s="18" t="s">
        <v>38</v>
      </c>
      <c r="C20" s="19" t="str">
        <f aca="false">IFERROR(VLOOKUP(B20,'Product Master'!$A:$B,2,0),"")</f>
        <v>CARROTS, DICED 1/4"</v>
      </c>
      <c r="D20" s="20" t="str">
        <f aca="false">IFERROR(VLOOKUP(B20,'Product Master'!$A:$E,5,0),"")</f>
        <v>CA4</v>
      </c>
      <c r="E20" s="28" t="str">
        <f aca="false">IFERROR(VLOOKUP(B20,'Product Master'!$A:$D,4,0),"")</f>
        <v>Produce - Veg &amp; Fruit</v>
      </c>
      <c r="F20" s="21"/>
      <c r="G20" s="22" t="s">
        <v>15</v>
      </c>
      <c r="H20" s="22" t="s">
        <v>15</v>
      </c>
      <c r="I20" s="22" t="s">
        <v>15</v>
      </c>
      <c r="J20" s="22" t="s">
        <v>15</v>
      </c>
      <c r="K20" s="22" t="s">
        <v>15</v>
      </c>
      <c r="L20" s="22" t="s">
        <v>15</v>
      </c>
      <c r="M20" s="22" t="s">
        <v>15</v>
      </c>
      <c r="N20" s="1" t="s">
        <v>39</v>
      </c>
    </row>
    <row r="21" customFormat="false" ht="15" hidden="false" customHeight="true" outlineLevel="0" collapsed="false">
      <c r="A21" s="10" t="str">
        <f aca="false">IFERROR(VLOOKUP(B21,'Product Master'!$A:$C,3,0),"")</f>
        <v>BALDOR</v>
      </c>
      <c r="B21" s="11" t="s">
        <v>40</v>
      </c>
      <c r="C21" s="12" t="str">
        <f aca="false">IFERROR(VLOOKUP(B21,'Product Master'!$A:$B,2,0),"")</f>
        <v>CELERY, DICED 1/4"</v>
      </c>
      <c r="D21" s="13" t="str">
        <f aca="false">IFERROR(VLOOKUP(B21,'Product Master'!$A:$E,5,0),"")</f>
        <v>CA4</v>
      </c>
      <c r="E21" s="28" t="str">
        <f aca="false">IFERROR(VLOOKUP(B21,'Product Master'!$A:$D,4,0),"")</f>
        <v>Produce - Veg &amp; Fruit</v>
      </c>
      <c r="F21" s="15"/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" t="s">
        <v>39</v>
      </c>
    </row>
    <row r="22" customFormat="false" ht="15" hidden="false" customHeight="true" outlineLevel="0" collapsed="false">
      <c r="A22" s="17" t="str">
        <f aca="false">IFERROR(VLOOKUP(B22,'Product Master'!$A:$C,3,0),"")</f>
        <v>BALDOR</v>
      </c>
      <c r="B22" s="18" t="s">
        <v>41</v>
      </c>
      <c r="C22" s="19" t="str">
        <f aca="false">IFERROR(VLOOKUP(B22,'Product Master'!$A:$B,2,0),"")</f>
        <v>CELERY, LOOSE</v>
      </c>
      <c r="D22" s="20" t="str">
        <f aca="false">IFERROR(VLOOKUP(B22,'Product Master'!$A:$E,5,0),"")</f>
        <v>CA30</v>
      </c>
      <c r="E22" s="28" t="str">
        <f aca="false">IFERROR(VLOOKUP(B22,'Product Master'!$A:$D,4,0),"")</f>
        <v>Produce - Veg &amp; Fruit</v>
      </c>
      <c r="F22" s="21"/>
      <c r="G22" s="22" t="s">
        <v>15</v>
      </c>
      <c r="H22" s="22" t="s">
        <v>15</v>
      </c>
      <c r="I22" s="22" t="s">
        <v>15</v>
      </c>
      <c r="J22" s="22" t="s">
        <v>15</v>
      </c>
      <c r="K22" s="22" t="s">
        <v>15</v>
      </c>
      <c r="L22" s="22" t="s">
        <v>15</v>
      </c>
      <c r="M22" s="22" t="s">
        <v>15</v>
      </c>
      <c r="N22" s="1" t="s">
        <v>42</v>
      </c>
    </row>
    <row r="23" customFormat="false" ht="15" hidden="false" customHeight="true" outlineLevel="0" collapsed="false">
      <c r="A23" s="10" t="str">
        <f aca="false">IFERROR(VLOOKUP(B23,'Product Master'!$A:$C,3,0),"")</f>
        <v>BALDOR</v>
      </c>
      <c r="B23" s="11" t="s">
        <v>43</v>
      </c>
      <c r="C23" s="12" t="str">
        <f aca="false">IFERROR(VLOOKUP(B23,'Product Master'!$A:$B,2,0),"")</f>
        <v>CHIVES, FRESH</v>
      </c>
      <c r="D23" s="13" t="str">
        <f aca="false">IFERROR(VLOOKUP(B23,'Product Master'!$A:$E,5,0),"")</f>
        <v>CA1</v>
      </c>
      <c r="E23" s="28" t="str">
        <f aca="false">IFERROR(VLOOKUP(B23,'Product Master'!$A:$D,4,0),"")</f>
        <v>Produce - Veg &amp; Fruit</v>
      </c>
      <c r="F23" s="15"/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" t="s">
        <v>44</v>
      </c>
    </row>
    <row r="24" customFormat="false" ht="15" hidden="false" customHeight="true" outlineLevel="0" collapsed="false">
      <c r="A24" s="17" t="str">
        <f aca="false">IFERROR(VLOOKUP(B24,'Product Master'!$A:$C,3,0),"")</f>
        <v>BALDOR</v>
      </c>
      <c r="B24" s="18" t="s">
        <v>45</v>
      </c>
      <c r="C24" s="19" t="str">
        <f aca="false">IFERROR(VLOOKUP(B24,'Product Master'!$A:$B,2,0),"")</f>
        <v>ENDIVE, BELGIAN</v>
      </c>
      <c r="D24" s="20" t="str">
        <f aca="false">IFERROR(VLOOKUP(B24,'Product Master'!$A:$E,5,0),"")</f>
        <v>CA10</v>
      </c>
      <c r="E24" s="28" t="str">
        <f aca="false">IFERROR(VLOOKUP(B24,'Product Master'!$A:$D,4,0),"")</f>
        <v>Produce - Veg &amp; Fruit</v>
      </c>
      <c r="F24" s="21"/>
      <c r="G24" s="22" t="s">
        <v>15</v>
      </c>
      <c r="H24" s="22" t="s">
        <v>15</v>
      </c>
      <c r="I24" s="22" t="s">
        <v>15</v>
      </c>
      <c r="J24" s="22" t="s">
        <v>15</v>
      </c>
      <c r="K24" s="22" t="s">
        <v>15</v>
      </c>
      <c r="L24" s="22" t="s">
        <v>15</v>
      </c>
      <c r="M24" s="22" t="s">
        <v>15</v>
      </c>
      <c r="N24" s="1" t="s">
        <v>46</v>
      </c>
    </row>
    <row r="25" customFormat="false" ht="15" hidden="false" customHeight="true" outlineLevel="0" collapsed="false">
      <c r="A25" s="10" t="str">
        <f aca="false">IFERROR(VLOOKUP(B25,'Product Master'!$A:$C,3,0),"")</f>
        <v>BALDOR</v>
      </c>
      <c r="B25" s="11" t="s">
        <v>47</v>
      </c>
      <c r="C25" s="12" t="str">
        <f aca="false">IFERROR(VLOOKUP(B25,'Product Master'!$A:$B,2,0),"")</f>
        <v>ENDIVE, RED</v>
      </c>
      <c r="D25" s="13" t="str">
        <f aca="false">IFERROR(VLOOKUP(B25,'Product Master'!$A:$E,5,0),"")</f>
        <v>CA6.6</v>
      </c>
      <c r="E25" s="28" t="str">
        <f aca="false">IFERROR(VLOOKUP(B25,'Product Master'!$A:$D,4,0),"")</f>
        <v>Produce - Veg &amp; Fruit</v>
      </c>
      <c r="F25" s="15"/>
      <c r="G25" s="16" t="s">
        <v>15</v>
      </c>
      <c r="H25" s="16" t="s">
        <v>15</v>
      </c>
      <c r="I25" s="16" t="s">
        <v>15</v>
      </c>
      <c r="J25" s="16" t="s">
        <v>15</v>
      </c>
      <c r="K25" s="16" t="s">
        <v>15</v>
      </c>
      <c r="L25" s="16" t="s">
        <v>15</v>
      </c>
      <c r="M25" s="16" t="s">
        <v>15</v>
      </c>
      <c r="N25" s="1" t="s">
        <v>48</v>
      </c>
    </row>
    <row r="26" customFormat="false" ht="15" hidden="false" customHeight="true" outlineLevel="0" collapsed="false">
      <c r="A26" s="17" t="str">
        <f aca="false">IFERROR(VLOOKUP(B26,'Product Master'!$A:$C,3,0),"")</f>
        <v>BALDOR</v>
      </c>
      <c r="B26" s="18" t="s">
        <v>49</v>
      </c>
      <c r="C26" s="19" t="str">
        <f aca="false">IFERROR(VLOOKUP(B26,'Product Master'!$A:$B,2,0),"")</f>
        <v>FENNEL, ANISE</v>
      </c>
      <c r="D26" s="20" t="str">
        <f aca="false">IFERROR(VLOOKUP(B26,'Product Master'!$A:$E,5,0),"")</f>
        <v>CA24</v>
      </c>
      <c r="E26" s="28" t="str">
        <f aca="false">IFERROR(VLOOKUP(B26,'Product Master'!$A:$D,4,0),"")</f>
        <v>Produce - Veg &amp; Fruit</v>
      </c>
      <c r="F26" s="21"/>
      <c r="G26" s="22" t="s">
        <v>15</v>
      </c>
      <c r="H26" s="22" t="s">
        <v>15</v>
      </c>
      <c r="I26" s="22" t="s">
        <v>15</v>
      </c>
      <c r="J26" s="22" t="s">
        <v>15</v>
      </c>
      <c r="K26" s="22" t="s">
        <v>15</v>
      </c>
      <c r="L26" s="22" t="s">
        <v>15</v>
      </c>
      <c r="M26" s="22" t="s">
        <v>15</v>
      </c>
      <c r="N26" s="1" t="s">
        <v>50</v>
      </c>
    </row>
    <row r="27" customFormat="false" ht="15" hidden="false" customHeight="true" outlineLevel="0" collapsed="false">
      <c r="A27" s="10" t="str">
        <f aca="false">IFERROR(VLOOKUP(B27,'Product Master'!$A:$C,3,0),"")</f>
        <v>BALDOR</v>
      </c>
      <c r="B27" s="11" t="s">
        <v>51</v>
      </c>
      <c r="C27" s="12" t="str">
        <f aca="false">IFERROR(VLOOKUP(B27,'Product Master'!$A:$B,2,0),"")</f>
        <v>GARLIC, PEELED 5LB</v>
      </c>
      <c r="D27" s="13" t="str">
        <f aca="false">IFERROR(VLOOKUP(B27,'Product Master'!$A:$E,5,0),"")</f>
        <v>CA5</v>
      </c>
      <c r="E27" s="28" t="str">
        <f aca="false">IFERROR(VLOOKUP(B27,'Product Master'!$A:$D,4,0),"")</f>
        <v>Produce - Veg &amp; Fruit</v>
      </c>
      <c r="F27" s="15"/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6" t="s">
        <v>15</v>
      </c>
      <c r="N27" s="1" t="s">
        <v>52</v>
      </c>
    </row>
    <row r="28" customFormat="false" ht="15" hidden="false" customHeight="true" outlineLevel="0" collapsed="false">
      <c r="A28" s="17" t="str">
        <f aca="false">IFERROR(VLOOKUP(B28,'Product Master'!$A:$C,3,0),"")</f>
        <v>BALDOR</v>
      </c>
      <c r="B28" s="18" t="s">
        <v>53</v>
      </c>
      <c r="C28" s="19" t="str">
        <f aca="false">IFERROR(VLOOKUP(B28,'Product Master'!$A:$B,2,0),"")</f>
        <v>GRAPES, WHITE/GREEN SEEDLESS</v>
      </c>
      <c r="D28" s="20" t="str">
        <f aca="false">IFERROR(VLOOKUP(B28,'Product Master'!$A:$E,5,0),"")</f>
        <v>CA18</v>
      </c>
      <c r="E28" s="28" t="str">
        <f aca="false">IFERROR(VLOOKUP(B28,'Product Master'!$A:$D,4,0),"")</f>
        <v>Produce - Veg &amp; Fruit</v>
      </c>
      <c r="F28" s="21"/>
      <c r="G28" s="22" t="s">
        <v>15</v>
      </c>
      <c r="H28" s="22" t="s">
        <v>15</v>
      </c>
      <c r="I28" s="22" t="s">
        <v>15</v>
      </c>
      <c r="J28" s="22" t="s">
        <v>15</v>
      </c>
      <c r="K28" s="22" t="s">
        <v>15</v>
      </c>
      <c r="L28" s="22" t="s">
        <v>15</v>
      </c>
      <c r="M28" s="22" t="s">
        <v>15</v>
      </c>
      <c r="N28" s="1" t="s">
        <v>54</v>
      </c>
    </row>
    <row r="29" customFormat="false" ht="15" hidden="false" customHeight="true" outlineLevel="0" collapsed="false">
      <c r="A29" s="10" t="str">
        <f aca="false">IFERROR(VLOOKUP(B29,'Product Master'!$A:$C,3,0),"")</f>
        <v>BALDOR</v>
      </c>
      <c r="B29" s="11" t="s">
        <v>55</v>
      </c>
      <c r="C29" s="12" t="str">
        <f aca="false">IFERROR(VLOOKUP(B29,'Product Master'!$A:$B,2,0),"")</f>
        <v>LEMONS, CHOICE</v>
      </c>
      <c r="D29" s="13" t="str">
        <f aca="false">IFERROR(VLOOKUP(B29,'Product Master'!$A:$E,5,0),"")</f>
        <v>CA200</v>
      </c>
      <c r="E29" s="28" t="str">
        <f aca="false">IFERROR(VLOOKUP(B29,'Product Master'!$A:$D,4,0),"")</f>
        <v>Produce - Veg &amp; Fruit</v>
      </c>
      <c r="F29" s="15"/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6" t="s">
        <v>15</v>
      </c>
      <c r="N29" s="1" t="s">
        <v>56</v>
      </c>
    </row>
    <row r="30" customFormat="false" ht="15" hidden="false" customHeight="true" outlineLevel="0" collapsed="false">
      <c r="A30" s="17" t="str">
        <f aca="false">IFERROR(VLOOKUP(B30,'Product Master'!$A:$C,3,0),"")</f>
        <v>BALDOR</v>
      </c>
      <c r="B30" s="18" t="s">
        <v>57</v>
      </c>
      <c r="C30" s="19" t="str">
        <f aca="false">IFERROR(VLOOKUP(B30,'Product Master'!$A:$B,2,0),"")</f>
        <v>LETTUCE, FRISEE</v>
      </c>
      <c r="D30" s="20" t="str">
        <f aca="false">IFERROR(VLOOKUP(B30,'Product Master'!$A:$E,5,0),"")</f>
        <v>CA12</v>
      </c>
      <c r="E30" s="28" t="str">
        <f aca="false">IFERROR(VLOOKUP(B30,'Product Master'!$A:$D,4,0),"")</f>
        <v>Produce - Veg &amp; Fruit</v>
      </c>
      <c r="F30" s="21"/>
      <c r="G30" s="22" t="s">
        <v>15</v>
      </c>
      <c r="H30" s="22" t="s">
        <v>15</v>
      </c>
      <c r="I30" s="22" t="s">
        <v>15</v>
      </c>
      <c r="J30" s="22" t="s">
        <v>15</v>
      </c>
      <c r="K30" s="22" t="s">
        <v>15</v>
      </c>
      <c r="L30" s="22" t="s">
        <v>15</v>
      </c>
      <c r="M30" s="22" t="s">
        <v>15</v>
      </c>
      <c r="N30" s="1" t="s">
        <v>58</v>
      </c>
    </row>
    <row r="31" customFormat="false" ht="15" hidden="false" customHeight="true" outlineLevel="0" collapsed="false">
      <c r="A31" s="10" t="str">
        <f aca="false">IFERROR(VLOOKUP(B31,'Product Master'!$A:$C,3,0),"")</f>
        <v>BALDOR</v>
      </c>
      <c r="B31" s="11" t="s">
        <v>59</v>
      </c>
      <c r="C31" s="12" t="str">
        <f aca="false">IFERROR(VLOOKUP(B31,'Product Master'!$A:$B,2,0),"")</f>
        <v>LETTUCE, LITTLE GEM</v>
      </c>
      <c r="D31" s="13" t="str">
        <f aca="false">IFERROR(VLOOKUP(B31,'Product Master'!$A:$E,5,0),"")</f>
        <v>CA24</v>
      </c>
      <c r="E31" s="28" t="str">
        <f aca="false">IFERROR(VLOOKUP(B31,'Product Master'!$A:$D,4,0),"")</f>
        <v>Produce - Veg &amp; Fruit</v>
      </c>
      <c r="F31" s="15"/>
      <c r="G31" s="16" t="s">
        <v>15</v>
      </c>
      <c r="H31" s="16" t="s">
        <v>15</v>
      </c>
      <c r="I31" s="16" t="s">
        <v>15</v>
      </c>
      <c r="J31" s="16" t="s">
        <v>15</v>
      </c>
      <c r="K31" s="16" t="s">
        <v>15</v>
      </c>
      <c r="L31" s="16" t="s">
        <v>15</v>
      </c>
      <c r="M31" s="16" t="s">
        <v>15</v>
      </c>
      <c r="N31" s="1" t="s">
        <v>60</v>
      </c>
    </row>
    <row r="32" customFormat="false" ht="15" hidden="false" customHeight="true" outlineLevel="0" collapsed="false">
      <c r="A32" s="17" t="str">
        <f aca="false">IFERROR(VLOOKUP(B32,'Product Master'!$A:$C,3,0),"")</f>
        <v>BALDOR</v>
      </c>
      <c r="B32" s="18" t="s">
        <v>61</v>
      </c>
      <c r="C32" s="19" t="str">
        <f aca="false">IFERROR(VLOOKUP(B32,'Product Master'!$A:$B,2,0),"")</f>
        <v>MICROGREENS, PEA SHOOTS</v>
      </c>
      <c r="D32" s="20" t="str">
        <f aca="false">IFERROR(VLOOKUP(B32,'Product Master'!$A:$E,5,0),"")</f>
        <v>CA1</v>
      </c>
      <c r="E32" s="28" t="str">
        <f aca="false">IFERROR(VLOOKUP(B32,'Product Master'!$A:$D,4,0),"")</f>
        <v>Produce - Veg &amp; Fruit</v>
      </c>
      <c r="F32" s="21"/>
      <c r="G32" s="22" t="s">
        <v>15</v>
      </c>
      <c r="H32" s="22" t="s">
        <v>15</v>
      </c>
      <c r="I32" s="22" t="s">
        <v>15</v>
      </c>
      <c r="J32" s="22" t="s">
        <v>15</v>
      </c>
      <c r="K32" s="22" t="s">
        <v>15</v>
      </c>
      <c r="L32" s="22" t="s">
        <v>15</v>
      </c>
      <c r="M32" s="22" t="s">
        <v>15</v>
      </c>
      <c r="N32" s="1" t="s">
        <v>62</v>
      </c>
    </row>
    <row r="33" customFormat="false" ht="15" hidden="false" customHeight="true" outlineLevel="0" collapsed="false">
      <c r="A33" s="10" t="str">
        <f aca="false">IFERROR(VLOOKUP(B33,'Product Master'!$A:$C,3,0),"")</f>
        <v>BALDOR</v>
      </c>
      <c r="B33" s="11" t="s">
        <v>63</v>
      </c>
      <c r="C33" s="12" t="str">
        <f aca="false">IFERROR(VLOOKUP(B33,'Product Master'!$A:$B,2,0),"")</f>
        <v>MINT, FRESH</v>
      </c>
      <c r="D33" s="13" t="str">
        <f aca="false">IFERROR(VLOOKUP(B33,'Product Master'!$A:$E,5,0),"")</f>
        <v>CA1</v>
      </c>
      <c r="E33" s="28" t="str">
        <f aca="false">IFERROR(VLOOKUP(B33,'Product Master'!$A:$D,4,0),"")</f>
        <v>Produce - Veg &amp; Fruit</v>
      </c>
      <c r="F33" s="15"/>
      <c r="G33" s="16" t="s">
        <v>15</v>
      </c>
      <c r="H33" s="16" t="s">
        <v>15</v>
      </c>
      <c r="I33" s="16" t="s">
        <v>15</v>
      </c>
      <c r="J33" s="16" t="s">
        <v>15</v>
      </c>
      <c r="K33" s="16" t="s">
        <v>15</v>
      </c>
      <c r="L33" s="16" t="s">
        <v>15</v>
      </c>
      <c r="M33" s="16" t="s">
        <v>15</v>
      </c>
      <c r="N33" s="1" t="s">
        <v>64</v>
      </c>
    </row>
    <row r="34" customFormat="false" ht="15" hidden="false" customHeight="true" outlineLevel="0" collapsed="false">
      <c r="A34" s="17" t="str">
        <f aca="false">IFERROR(VLOOKUP(B34,'Product Master'!$A:$C,3,0),"")</f>
        <v>BALDOR</v>
      </c>
      <c r="B34" s="18" t="s">
        <v>65</v>
      </c>
      <c r="C34" s="19" t="str">
        <f aca="false">IFERROR(VLOOKUP(B34,'Product Master'!$A:$B,2,0),"")</f>
        <v>ONION, SPANISH</v>
      </c>
      <c r="D34" s="20" t="str">
        <f aca="false">IFERROR(VLOOKUP(B34,'Product Master'!$A:$E,5,0),"")</f>
        <v>CA50</v>
      </c>
      <c r="E34" s="28" t="str">
        <f aca="false">IFERROR(VLOOKUP(B34,'Product Master'!$A:$D,4,0),"")</f>
        <v>Produce - Veg &amp; Fruit</v>
      </c>
      <c r="F34" s="21"/>
      <c r="G34" s="22" t="s">
        <v>15</v>
      </c>
      <c r="H34" s="22" t="s">
        <v>15</v>
      </c>
      <c r="I34" s="22" t="s">
        <v>15</v>
      </c>
      <c r="J34" s="22" t="s">
        <v>15</v>
      </c>
      <c r="K34" s="22" t="s">
        <v>15</v>
      </c>
      <c r="L34" s="22" t="s">
        <v>15</v>
      </c>
      <c r="M34" s="22" t="s">
        <v>15</v>
      </c>
      <c r="N34" s="1" t="s">
        <v>66</v>
      </c>
    </row>
    <row r="35" customFormat="false" ht="15" hidden="false" customHeight="true" outlineLevel="0" collapsed="false">
      <c r="A35" s="10" t="str">
        <f aca="false">IFERROR(VLOOKUP(B35,'Product Master'!$A:$C,3,0),"")</f>
        <v>BALDOR</v>
      </c>
      <c r="B35" s="11" t="s">
        <v>67</v>
      </c>
      <c r="C35" s="12" t="str">
        <f aca="false">IFERROR(VLOOKUP(B35,'Product Master'!$A:$B,2,0),"")</f>
        <v>ONION, SPANISH DICED 1/4"</v>
      </c>
      <c r="D35" s="13" t="str">
        <f aca="false">IFERROR(VLOOKUP(B35,'Product Master'!$A:$E,5,0),"")</f>
        <v>CA4</v>
      </c>
      <c r="E35" s="28" t="str">
        <f aca="false">IFERROR(VLOOKUP(B35,'Product Master'!$A:$D,4,0),"")</f>
        <v>Produce - Veg &amp; Fruit</v>
      </c>
      <c r="F35" s="15"/>
      <c r="G35" s="16" t="s">
        <v>15</v>
      </c>
      <c r="H35" s="16" t="s">
        <v>15</v>
      </c>
      <c r="I35" s="16" t="s">
        <v>15</v>
      </c>
      <c r="J35" s="16" t="s">
        <v>15</v>
      </c>
      <c r="K35" s="16" t="s">
        <v>15</v>
      </c>
      <c r="L35" s="16" t="s">
        <v>15</v>
      </c>
      <c r="M35" s="16" t="s">
        <v>15</v>
      </c>
      <c r="N35" s="1" t="s">
        <v>39</v>
      </c>
    </row>
    <row r="36" customFormat="false" ht="15" hidden="false" customHeight="true" outlineLevel="0" collapsed="false">
      <c r="A36" s="17" t="str">
        <f aca="false">IFERROR(VLOOKUP(B36,'Product Master'!$A:$C,3,0),"")</f>
        <v>BALDOR</v>
      </c>
      <c r="B36" s="18" t="s">
        <v>68</v>
      </c>
      <c r="C36" s="19" t="str">
        <f aca="false">IFERROR(VLOOKUP(B36,'Product Master'!$A:$B,2,0),"")</f>
        <v>ORANGES, CARA CARA</v>
      </c>
      <c r="D36" s="20" t="str">
        <f aca="false">IFERROR(VLOOKUP(B36,'Product Master'!$A:$E,5,0),"")</f>
        <v>CA40</v>
      </c>
      <c r="E36" s="28" t="str">
        <f aca="false">IFERROR(VLOOKUP(B36,'Product Master'!$A:$D,4,0),"")</f>
        <v>Produce - Veg &amp; Fruit</v>
      </c>
      <c r="F36" s="21"/>
      <c r="G36" s="22" t="s">
        <v>15</v>
      </c>
      <c r="H36" s="22" t="s">
        <v>15</v>
      </c>
      <c r="I36" s="22" t="s">
        <v>15</v>
      </c>
      <c r="J36" s="22" t="s">
        <v>15</v>
      </c>
      <c r="K36" s="22" t="s">
        <v>15</v>
      </c>
      <c r="L36" s="22" t="s">
        <v>15</v>
      </c>
      <c r="M36" s="22" t="s">
        <v>15</v>
      </c>
      <c r="N36" s="1" t="s">
        <v>37</v>
      </c>
    </row>
    <row r="37" customFormat="false" ht="15" hidden="false" customHeight="true" outlineLevel="0" collapsed="false">
      <c r="A37" s="10" t="str">
        <f aca="false">IFERROR(VLOOKUP(B37,'Product Master'!$A:$C,3,0),"")</f>
        <v>BALDOR</v>
      </c>
      <c r="B37" s="11" t="s">
        <v>69</v>
      </c>
      <c r="C37" s="12" t="str">
        <f aca="false">IFERROR(VLOOKUP(B37,'Product Master'!$A:$B,2,0),"")</f>
        <v>OREGANO, FRESH</v>
      </c>
      <c r="D37" s="13" t="str">
        <f aca="false">IFERROR(VLOOKUP(B37,'Product Master'!$A:$E,5,0),"")</f>
        <v>CA1</v>
      </c>
      <c r="E37" s="28" t="str">
        <f aca="false">IFERROR(VLOOKUP(B37,'Product Master'!$A:$D,4,0),"")</f>
        <v>Produce - Veg &amp; Fruit</v>
      </c>
      <c r="F37" s="15"/>
      <c r="G37" s="16" t="s">
        <v>15</v>
      </c>
      <c r="H37" s="16" t="s">
        <v>15</v>
      </c>
      <c r="I37" s="16" t="s">
        <v>15</v>
      </c>
      <c r="J37" s="16" t="s">
        <v>15</v>
      </c>
      <c r="K37" s="16" t="s">
        <v>15</v>
      </c>
      <c r="L37" s="16" t="s">
        <v>15</v>
      </c>
      <c r="M37" s="16" t="s">
        <v>15</v>
      </c>
      <c r="N37" s="1" t="s">
        <v>70</v>
      </c>
    </row>
    <row r="38" customFormat="false" ht="15" hidden="false" customHeight="true" outlineLevel="0" collapsed="false">
      <c r="A38" s="17" t="str">
        <f aca="false">IFERROR(VLOOKUP(B38,'Product Master'!$A:$C,3,0),"")</f>
        <v>BALDOR</v>
      </c>
      <c r="B38" s="18" t="s">
        <v>71</v>
      </c>
      <c r="C38" s="19" t="str">
        <f aca="false">IFERROR(VLOOKUP(B38,'Product Master'!$A:$B,2,0),"")</f>
        <v>PARSLEY, FLAKES</v>
      </c>
      <c r="D38" s="20" t="str">
        <f aca="false">IFERROR(VLOOKUP(B38,'Product Master'!$A:$E,5,0),"")</f>
        <v>ea</v>
      </c>
      <c r="E38" s="28" t="str">
        <f aca="false">IFERROR(VLOOKUP(B38,'Product Master'!$A:$D,4,0),"")</f>
        <v>Produce - Veg &amp; Fruit</v>
      </c>
      <c r="F38" s="21"/>
      <c r="G38" s="22" t="s">
        <v>15</v>
      </c>
      <c r="H38" s="22" t="s">
        <v>15</v>
      </c>
      <c r="I38" s="22" t="s">
        <v>15</v>
      </c>
      <c r="J38" s="22" t="s">
        <v>15</v>
      </c>
      <c r="K38" s="22" t="s">
        <v>15</v>
      </c>
      <c r="L38" s="22" t="s">
        <v>15</v>
      </c>
      <c r="M38" s="22" t="s">
        <v>15</v>
      </c>
      <c r="N38" s="1" t="s">
        <v>72</v>
      </c>
    </row>
    <row r="39" customFormat="false" ht="15" hidden="false" customHeight="true" outlineLevel="0" collapsed="false">
      <c r="A39" s="10" t="str">
        <f aca="false">IFERROR(VLOOKUP(B39,'Product Master'!$A:$C,3,0),"")</f>
        <v>BALDOR</v>
      </c>
      <c r="B39" s="11" t="s">
        <v>73</v>
      </c>
      <c r="C39" s="12" t="str">
        <f aca="false">IFERROR(VLOOKUP(B39,'Product Master'!$A:$B,2,0),"")</f>
        <v>PARSLEY, ITALIAN FRESH</v>
      </c>
      <c r="D39" s="13" t="str">
        <f aca="false">IFERROR(VLOOKUP(B39,'Product Master'!$A:$E,5,0),"")</f>
        <v>CA60</v>
      </c>
      <c r="E39" s="28" t="str">
        <f aca="false">IFERROR(VLOOKUP(B39,'Product Master'!$A:$D,4,0),"")</f>
        <v>Produce - Veg &amp; Fruit</v>
      </c>
      <c r="F39" s="15"/>
      <c r="G39" s="16" t="s">
        <v>15</v>
      </c>
      <c r="H39" s="16" t="s">
        <v>15</v>
      </c>
      <c r="I39" s="16" t="s">
        <v>15</v>
      </c>
      <c r="J39" s="16" t="s">
        <v>15</v>
      </c>
      <c r="K39" s="16" t="s">
        <v>15</v>
      </c>
      <c r="L39" s="16" t="s">
        <v>15</v>
      </c>
      <c r="M39" s="16" t="s">
        <v>15</v>
      </c>
      <c r="N39" s="1" t="s">
        <v>74</v>
      </c>
    </row>
    <row r="40" customFormat="false" ht="15" hidden="false" customHeight="true" outlineLevel="0" collapsed="false">
      <c r="A40" s="17" t="str">
        <f aca="false">IFERROR(VLOOKUP(B40,'Product Master'!$A:$C,3,0),"")</f>
        <v>BALDOR</v>
      </c>
      <c r="B40" s="18" t="s">
        <v>75</v>
      </c>
      <c r="C40" s="19" t="str">
        <f aca="false">IFERROR(VLOOKUP(B40,'Product Master'!$A:$B,2,0),"")</f>
        <v>POTATOES, GPOD IDAHO/RUSSET 40CT</v>
      </c>
      <c r="D40" s="20" t="str">
        <f aca="false">IFERROR(VLOOKUP(B40,'Product Master'!$A:$E,5,0),"")</f>
        <v>CA50</v>
      </c>
      <c r="E40" s="28" t="str">
        <f aca="false">IFERROR(VLOOKUP(B40,'Product Master'!$A:$D,4,0),"")</f>
        <v>Produce - Veg &amp; Fruit</v>
      </c>
      <c r="F40" s="21"/>
      <c r="G40" s="22" t="s">
        <v>15</v>
      </c>
      <c r="H40" s="22" t="s">
        <v>15</v>
      </c>
      <c r="I40" s="22" t="s">
        <v>15</v>
      </c>
      <c r="J40" s="22" t="s">
        <v>15</v>
      </c>
      <c r="K40" s="22" t="s">
        <v>15</v>
      </c>
      <c r="L40" s="22" t="s">
        <v>15</v>
      </c>
      <c r="M40" s="22" t="s">
        <v>15</v>
      </c>
      <c r="N40" s="1" t="s">
        <v>76</v>
      </c>
    </row>
    <row r="41" customFormat="false" ht="15" hidden="false" customHeight="true" outlineLevel="0" collapsed="false">
      <c r="A41" s="10" t="str">
        <f aca="false">IFERROR(VLOOKUP(B41,'Product Master'!$A:$C,3,0),"")</f>
        <v>BALDOR</v>
      </c>
      <c r="B41" s="11" t="s">
        <v>77</v>
      </c>
      <c r="C41" s="12" t="str">
        <f aca="false">IFERROR(VLOOKUP(B41,'Product Master'!$A:$B,2,0),"")</f>
        <v>POTATOES, RUSSET</v>
      </c>
      <c r="D41" s="13" t="str">
        <f aca="false">IFERROR(VLOOKUP(B41,'Product Master'!$A:$E,5,0),"")</f>
        <v>CA50</v>
      </c>
      <c r="E41" s="28" t="str">
        <f aca="false">IFERROR(VLOOKUP(B41,'Product Master'!$A:$D,4,0),"")</f>
        <v>Produce - Veg &amp; Fruit</v>
      </c>
      <c r="F41" s="15"/>
      <c r="G41" s="16" t="s">
        <v>15</v>
      </c>
      <c r="H41" s="16" t="s">
        <v>15</v>
      </c>
      <c r="I41" s="16" t="s">
        <v>15</v>
      </c>
      <c r="J41" s="16" t="s">
        <v>15</v>
      </c>
      <c r="K41" s="16" t="s">
        <v>15</v>
      </c>
      <c r="L41" s="16" t="s">
        <v>15</v>
      </c>
      <c r="M41" s="16" t="s">
        <v>15</v>
      </c>
      <c r="N41" s="1" t="s">
        <v>78</v>
      </c>
    </row>
    <row r="42" customFormat="false" ht="15" hidden="false" customHeight="true" outlineLevel="0" collapsed="false">
      <c r="A42" s="17" t="str">
        <f aca="false">IFERROR(VLOOKUP(B42,'Product Master'!$A:$C,3,0),"")</f>
        <v>BALDOR</v>
      </c>
      <c r="B42" s="18" t="s">
        <v>79</v>
      </c>
      <c r="C42" s="19" t="str">
        <f aca="false">IFERROR(VLOOKUP(B42,'Product Master'!$A:$B,2,0),"")</f>
        <v>POTATOES, YUKON -A-</v>
      </c>
      <c r="D42" s="20" t="str">
        <f aca="false">IFERROR(VLOOKUP(B42,'Product Master'!$A:$E,5,0),"")</f>
        <v>CA50</v>
      </c>
      <c r="E42" s="28" t="str">
        <f aca="false">IFERROR(VLOOKUP(B42,'Product Master'!$A:$D,4,0),"")</f>
        <v>Produce - Veg &amp; Fruit</v>
      </c>
      <c r="F42" s="21"/>
      <c r="G42" s="22" t="s">
        <v>15</v>
      </c>
      <c r="H42" s="22" t="s">
        <v>15</v>
      </c>
      <c r="I42" s="22" t="s">
        <v>15</v>
      </c>
      <c r="J42" s="22" t="s">
        <v>15</v>
      </c>
      <c r="K42" s="22" t="s">
        <v>15</v>
      </c>
      <c r="L42" s="22" t="s">
        <v>15</v>
      </c>
      <c r="M42" s="22" t="s">
        <v>15</v>
      </c>
      <c r="N42" s="1" t="s">
        <v>80</v>
      </c>
    </row>
    <row r="43" customFormat="false" ht="15" hidden="false" customHeight="true" outlineLevel="0" collapsed="false">
      <c r="A43" s="10" t="str">
        <f aca="false">IFERROR(VLOOKUP(B43,'Product Master'!$A:$C,3,0),"")</f>
        <v>BALDOR</v>
      </c>
      <c r="B43" s="11" t="s">
        <v>81</v>
      </c>
      <c r="C43" s="12" t="str">
        <f aca="false">IFERROR(VLOOKUP(B43,'Product Master'!$A:$B,2,0),"")</f>
        <v>RADICCHIO</v>
      </c>
      <c r="D43" s="13" t="str">
        <f aca="false">IFERROR(VLOOKUP(B43,'Product Master'!$A:$E,5,0),"")</f>
        <v>CA9</v>
      </c>
      <c r="E43" s="28" t="str">
        <f aca="false">IFERROR(VLOOKUP(B43,'Product Master'!$A:$D,4,0),"")</f>
        <v>Produce - Veg &amp; Fruit</v>
      </c>
      <c r="F43" s="15"/>
      <c r="G43" s="16" t="s">
        <v>15</v>
      </c>
      <c r="H43" s="16" t="s">
        <v>15</v>
      </c>
      <c r="I43" s="16" t="s">
        <v>15</v>
      </c>
      <c r="J43" s="16" t="s">
        <v>15</v>
      </c>
      <c r="K43" s="16" t="s">
        <v>15</v>
      </c>
      <c r="L43" s="16" t="s">
        <v>15</v>
      </c>
      <c r="M43" s="16" t="s">
        <v>15</v>
      </c>
      <c r="N43" s="1" t="s">
        <v>82</v>
      </c>
    </row>
    <row r="44" customFormat="false" ht="15" hidden="false" customHeight="true" outlineLevel="0" collapsed="false">
      <c r="A44" s="17" t="str">
        <f aca="false">IFERROR(VLOOKUP(B44,'Product Master'!$A:$C,3,0),"")</f>
        <v>BALDOR</v>
      </c>
      <c r="B44" s="18" t="s">
        <v>83</v>
      </c>
      <c r="C44" s="19" t="str">
        <f aca="false">IFERROR(VLOOKUP(B44,'Product Master'!$A:$B,2,0),"")</f>
        <v>RADISH, WATERMELON</v>
      </c>
      <c r="D44" s="20" t="str">
        <f aca="false">IFERROR(VLOOKUP(B44,'Product Master'!$A:$E,5,0),"")</f>
        <v>CA10</v>
      </c>
      <c r="E44" s="28" t="str">
        <f aca="false">IFERROR(VLOOKUP(B44,'Product Master'!$A:$D,4,0),"")</f>
        <v>Produce - Veg &amp; Fruit</v>
      </c>
      <c r="F44" s="21"/>
      <c r="G44" s="22" t="s">
        <v>15</v>
      </c>
      <c r="H44" s="22" t="s">
        <v>15</v>
      </c>
      <c r="I44" s="22" t="s">
        <v>15</v>
      </c>
      <c r="J44" s="22" t="s">
        <v>15</v>
      </c>
      <c r="K44" s="22" t="s">
        <v>15</v>
      </c>
      <c r="L44" s="22" t="s">
        <v>15</v>
      </c>
      <c r="M44" s="22" t="s">
        <v>15</v>
      </c>
      <c r="N44" s="1" t="s">
        <v>48</v>
      </c>
    </row>
    <row r="45" customFormat="false" ht="15" hidden="false" customHeight="true" outlineLevel="0" collapsed="false">
      <c r="A45" s="10" t="str">
        <f aca="false">IFERROR(VLOOKUP(B45,'Product Master'!$A:$C,3,0),"")</f>
        <v>BALDOR</v>
      </c>
      <c r="B45" s="11" t="s">
        <v>84</v>
      </c>
      <c r="C45" s="12" t="str">
        <f aca="false">IFERROR(VLOOKUP(B45,'Product Master'!$A:$B,2,0),"")</f>
        <v>ROSEMARY, FRESH</v>
      </c>
      <c r="D45" s="13" t="str">
        <f aca="false">IFERROR(VLOOKUP(B45,'Product Master'!$A:$E,5,0),"")</f>
        <v>lb</v>
      </c>
      <c r="E45" s="28" t="str">
        <f aca="false">IFERROR(VLOOKUP(B45,'Product Master'!$A:$D,4,0),"")</f>
        <v>Produce - Veg &amp; Fruit</v>
      </c>
      <c r="F45" s="15"/>
      <c r="G45" s="16" t="s">
        <v>15</v>
      </c>
      <c r="H45" s="16" t="s">
        <v>15</v>
      </c>
      <c r="I45" s="16" t="s">
        <v>15</v>
      </c>
      <c r="J45" s="16" t="s">
        <v>15</v>
      </c>
      <c r="K45" s="16" t="s">
        <v>15</v>
      </c>
      <c r="L45" s="16" t="s">
        <v>15</v>
      </c>
      <c r="M45" s="16" t="s">
        <v>15</v>
      </c>
      <c r="N45" s="1" t="s">
        <v>85</v>
      </c>
    </row>
    <row r="46" customFormat="false" ht="15" hidden="false" customHeight="true" outlineLevel="0" collapsed="false">
      <c r="A46" s="17" t="str">
        <f aca="false">IFERROR(VLOOKUP(B46,'Product Master'!$A:$C,3,0),"")</f>
        <v>BALDOR</v>
      </c>
      <c r="B46" s="18" t="s">
        <v>86</v>
      </c>
      <c r="C46" s="19" t="str">
        <f aca="false">IFERROR(VLOOKUP(B46,'Product Master'!$A:$B,2,0),"")</f>
        <v>SAGE, FRESH</v>
      </c>
      <c r="D46" s="20" t="str">
        <f aca="false">IFERROR(VLOOKUP(B46,'Product Master'!$A:$E,5,0),"")</f>
        <v>CA1</v>
      </c>
      <c r="E46" s="28" t="str">
        <f aca="false">IFERROR(VLOOKUP(B46,'Product Master'!$A:$D,4,0),"")</f>
        <v>Produce - Veg &amp; Fruit</v>
      </c>
      <c r="F46" s="21"/>
      <c r="G46" s="22" t="s">
        <v>15</v>
      </c>
      <c r="H46" s="22" t="s">
        <v>15</v>
      </c>
      <c r="I46" s="22" t="s">
        <v>15</v>
      </c>
      <c r="J46" s="22" t="s">
        <v>15</v>
      </c>
      <c r="K46" s="22" t="s">
        <v>15</v>
      </c>
      <c r="L46" s="22" t="s">
        <v>15</v>
      </c>
      <c r="M46" s="22" t="s">
        <v>15</v>
      </c>
      <c r="N46" s="1" t="s">
        <v>87</v>
      </c>
    </row>
    <row r="47" customFormat="false" ht="15" hidden="false" customHeight="true" outlineLevel="0" collapsed="false">
      <c r="A47" s="10" t="str">
        <f aca="false">IFERROR(VLOOKUP(B47,'Product Master'!$A:$C,3,0),"")</f>
        <v>BALDOR</v>
      </c>
      <c r="B47" s="11" t="s">
        <v>88</v>
      </c>
      <c r="C47" s="12" t="str">
        <f aca="false">IFERROR(VLOOKUP(B47,'Product Master'!$A:$B,2,0),"")</f>
        <v>SQUASH, GREEN MEDIUM ZUCCHINI</v>
      </c>
      <c r="D47" s="13" t="str">
        <f aca="false">IFERROR(VLOOKUP(B47,'Product Master'!$A:$E,5,0),"")</f>
        <v>CA18</v>
      </c>
      <c r="E47" s="28" t="str">
        <f aca="false">IFERROR(VLOOKUP(B47,'Product Master'!$A:$D,4,0),"")</f>
        <v>Produce - Veg &amp; Fruit</v>
      </c>
      <c r="F47" s="15"/>
      <c r="G47" s="16" t="s">
        <v>15</v>
      </c>
      <c r="H47" s="16" t="s">
        <v>15</v>
      </c>
      <c r="I47" s="16" t="s">
        <v>15</v>
      </c>
      <c r="J47" s="16" t="s">
        <v>15</v>
      </c>
      <c r="K47" s="16" t="s">
        <v>15</v>
      </c>
      <c r="L47" s="16" t="s">
        <v>15</v>
      </c>
      <c r="M47" s="16" t="s">
        <v>15</v>
      </c>
      <c r="N47" s="1" t="s">
        <v>89</v>
      </c>
    </row>
    <row r="48" customFormat="false" ht="15" hidden="false" customHeight="true" outlineLevel="0" collapsed="false">
      <c r="A48" s="17" t="str">
        <f aca="false">IFERROR(VLOOKUP(B48,'Product Master'!$A:$C,3,0),"")</f>
        <v>BALDOR</v>
      </c>
      <c r="B48" s="18" t="s">
        <v>90</v>
      </c>
      <c r="C48" s="19" t="str">
        <f aca="false">IFERROR(VLOOKUP(B48,'Product Master'!$A:$B,2,0),"")</f>
        <v>THYME, FRESH</v>
      </c>
      <c r="D48" s="20" t="str">
        <f aca="false">IFERROR(VLOOKUP(B48,'Product Master'!$A:$E,5,0),"")</f>
        <v>CA1</v>
      </c>
      <c r="E48" s="28" t="str">
        <f aca="false">IFERROR(VLOOKUP(B48,'Product Master'!$A:$D,4,0),"")</f>
        <v>Produce - Veg &amp; Fruit</v>
      </c>
      <c r="F48" s="21"/>
      <c r="G48" s="22" t="s">
        <v>15</v>
      </c>
      <c r="H48" s="22" t="s">
        <v>15</v>
      </c>
      <c r="I48" s="22" t="s">
        <v>15</v>
      </c>
      <c r="J48" s="22" t="s">
        <v>15</v>
      </c>
      <c r="K48" s="22" t="s">
        <v>15</v>
      </c>
      <c r="L48" s="22" t="s">
        <v>15</v>
      </c>
      <c r="M48" s="22" t="s">
        <v>15</v>
      </c>
      <c r="N48" s="1" t="s">
        <v>91</v>
      </c>
    </row>
    <row r="49" customFormat="false" ht="15" hidden="false" customHeight="true" outlineLevel="0" collapsed="false">
      <c r="A49" s="10" t="str">
        <f aca="false">IFERROR(VLOOKUP(B49,'Product Master'!$A:$C,3,0),"")</f>
        <v>BALDOR</v>
      </c>
      <c r="B49" s="11" t="s">
        <v>92</v>
      </c>
      <c r="C49" s="12" t="str">
        <f aca="false">IFERROR(VLOOKUP(B49,'Product Master'!$A:$B,2,0),"")</f>
        <v>TOMATOES, CHERRY ON THE VINE</v>
      </c>
      <c r="D49" s="13" t="str">
        <f aca="false">IFERROR(VLOOKUP(B49,'Product Master'!$A:$E,5,0),"")</f>
        <v>CA10</v>
      </c>
      <c r="E49" s="28" t="str">
        <f aca="false">IFERROR(VLOOKUP(B49,'Product Master'!$A:$D,4,0),"")</f>
        <v>Produce - Veg &amp; Fruit</v>
      </c>
      <c r="F49" s="15"/>
      <c r="G49" s="16" t="s">
        <v>15</v>
      </c>
      <c r="H49" s="16" t="s">
        <v>15</v>
      </c>
      <c r="I49" s="16" t="s">
        <v>15</v>
      </c>
      <c r="J49" s="16" t="s">
        <v>15</v>
      </c>
      <c r="K49" s="16" t="s">
        <v>15</v>
      </c>
      <c r="L49" s="16" t="s">
        <v>15</v>
      </c>
      <c r="M49" s="16" t="s">
        <v>15</v>
      </c>
      <c r="N49" s="1" t="s">
        <v>93</v>
      </c>
    </row>
    <row r="50" customFormat="false" ht="15" hidden="false" customHeight="true" outlineLevel="0" collapsed="false">
      <c r="A50" s="17" t="str">
        <f aca="false">IFERROR(VLOOKUP(B50,'Product Master'!$A:$C,3,0),"")</f>
        <v>BALDOR</v>
      </c>
      <c r="B50" s="18" t="s">
        <v>94</v>
      </c>
      <c r="C50" s="19" t="str">
        <f aca="false">IFERROR(VLOOKUP(B50,'Product Master'!$A:$B,2,0),"")</f>
        <v>TOMATOES, HEIRLOOM</v>
      </c>
      <c r="D50" s="20" t="str">
        <f aca="false">IFERROR(VLOOKUP(B50,'Product Master'!$A:$E,5,0),"")</f>
        <v>CA10</v>
      </c>
      <c r="E50" s="28" t="str">
        <f aca="false">IFERROR(VLOOKUP(B50,'Product Master'!$A:$D,4,0),"")</f>
        <v>Produce - Veg &amp; Fruit</v>
      </c>
      <c r="F50" s="21"/>
      <c r="G50" s="22" t="s">
        <v>15</v>
      </c>
      <c r="H50" s="22" t="s">
        <v>15</v>
      </c>
      <c r="I50" s="22" t="s">
        <v>15</v>
      </c>
      <c r="J50" s="22" t="s">
        <v>15</v>
      </c>
      <c r="K50" s="22" t="s">
        <v>15</v>
      </c>
      <c r="L50" s="22" t="s">
        <v>15</v>
      </c>
      <c r="M50" s="22" t="s">
        <v>15</v>
      </c>
      <c r="N50" s="1" t="s">
        <v>95</v>
      </c>
    </row>
    <row r="51" customFormat="false" ht="15" hidden="false" customHeight="true" outlineLevel="0" collapsed="false">
      <c r="A51" s="10" t="str">
        <f aca="false">IFERROR(VLOOKUP(B51,'Product Master'!$A:$C,3,0),"")</f>
        <v>BALDOR</v>
      </c>
      <c r="B51" s="11" t="s">
        <v>96</v>
      </c>
      <c r="C51" s="12" t="str">
        <f aca="false">IFERROR(VLOOKUP(B51,'Product Master'!$A:$B,2,0),"")</f>
        <v>TOMATOES, RED CHERRY PINT</v>
      </c>
      <c r="D51" s="13" t="str">
        <f aca="false">IFERROR(VLOOKUP(B51,'Product Master'!$A:$E,5,0),"")</f>
        <v>CA12</v>
      </c>
      <c r="E51" s="28" t="str">
        <f aca="false">IFERROR(VLOOKUP(B51,'Product Master'!$A:$D,4,0),"")</f>
        <v>Produce - Veg &amp; Fruit</v>
      </c>
      <c r="F51" s="15"/>
      <c r="G51" s="16" t="s">
        <v>15</v>
      </c>
      <c r="H51" s="16" t="s">
        <v>15</v>
      </c>
      <c r="I51" s="16" t="s">
        <v>15</v>
      </c>
      <c r="J51" s="16" t="s">
        <v>15</v>
      </c>
      <c r="K51" s="16" t="s">
        <v>15</v>
      </c>
      <c r="L51" s="16" t="s">
        <v>15</v>
      </c>
      <c r="M51" s="16" t="s">
        <v>15</v>
      </c>
      <c r="N51" s="1" t="s">
        <v>97</v>
      </c>
    </row>
    <row r="52" customFormat="false" ht="19.5" hidden="false" customHeight="true" outlineLevel="0" collapsed="false">
      <c r="A52" s="29" t="s">
        <v>98</v>
      </c>
      <c r="B52" s="29"/>
      <c r="C52" s="30" t="s">
        <v>99</v>
      </c>
      <c r="D52" s="30"/>
      <c r="E52" s="30"/>
      <c r="F52" s="31" t="s">
        <v>100</v>
      </c>
      <c r="G52" s="31"/>
      <c r="H52" s="31"/>
      <c r="I52" s="31"/>
      <c r="J52" s="31"/>
      <c r="K52" s="31"/>
      <c r="L52" s="31"/>
      <c r="M52" s="31"/>
      <c r="N52" s="1" t="s">
        <v>11</v>
      </c>
    </row>
    <row r="53" customFormat="false" ht="12.75" hidden="false" customHeight="true" outlineLevel="0" collapsed="false">
      <c r="A53" s="32" t="s">
        <v>101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1" t="s">
        <v>13</v>
      </c>
    </row>
    <row r="54" customFormat="false" ht="15" hidden="false" customHeight="true" outlineLevel="0" collapsed="false">
      <c r="A54" s="10" t="str">
        <f aca="false">IFERROR(VLOOKUP(B54,'Product Master'!$A:$C,3,0),"")</f>
        <v>ATALANTA</v>
      </c>
      <c r="B54" s="11" t="s">
        <v>102</v>
      </c>
      <c r="C54" s="12" t="str">
        <f aca="false">IFERROR(VLOOKUP(B54,'Product Master'!$A:$B,2,0),"")</f>
        <v>GORGONZOLA DOLCE CREAMY [ARRIGONI]</v>
      </c>
      <c r="D54" s="13" t="str">
        <f aca="false">IFERROR(VLOOKUP(B54,'Product Master'!$A:$E,5,0),"")</f>
        <v>lb</v>
      </c>
      <c r="E54" s="33" t="str">
        <f aca="false">IFERROR(VLOOKUP(B54,'Product Master'!$A:$D,4,0),"")</f>
        <v>Dairy &amp; Eggs</v>
      </c>
      <c r="F54" s="15"/>
      <c r="G54" s="16" t="s">
        <v>15</v>
      </c>
      <c r="H54" s="16" t="s">
        <v>15</v>
      </c>
      <c r="I54" s="16" t="s">
        <v>15</v>
      </c>
      <c r="J54" s="16" t="s">
        <v>15</v>
      </c>
      <c r="K54" s="16" t="s">
        <v>15</v>
      </c>
      <c r="L54" s="16" t="s">
        <v>15</v>
      </c>
      <c r="M54" s="16" t="s">
        <v>15</v>
      </c>
      <c r="N54" s="1" t="s">
        <v>54</v>
      </c>
    </row>
    <row r="55" customFormat="false" ht="15" hidden="false" customHeight="true" outlineLevel="0" collapsed="false">
      <c r="A55" s="17" t="str">
        <f aca="false">IFERROR(VLOOKUP(B55,'Product Master'!$A:$C,3,0),"")</f>
        <v>ATALANTA</v>
      </c>
      <c r="B55" s="18" t="s">
        <v>103</v>
      </c>
      <c r="C55" s="19" t="str">
        <f aca="false">IFERROR(VLOOKUP(B55,'Product Master'!$A:$B,2,0),"")</f>
        <v>GRANA PADANO, 12 MOS [AGRIFORM]</v>
      </c>
      <c r="D55" s="20" t="str">
        <f aca="false">IFERROR(VLOOKUP(B55,'Product Master'!$A:$E,5,0),"")</f>
        <v>lb</v>
      </c>
      <c r="E55" s="33" t="str">
        <f aca="false">IFERROR(VLOOKUP(B55,'Product Master'!$A:$D,4,0),"")</f>
        <v>Dairy &amp; Eggs</v>
      </c>
      <c r="F55" s="21"/>
      <c r="G55" s="22" t="s">
        <v>15</v>
      </c>
      <c r="H55" s="22" t="s">
        <v>15</v>
      </c>
      <c r="I55" s="22" t="s">
        <v>15</v>
      </c>
      <c r="J55" s="22" t="s">
        <v>15</v>
      </c>
      <c r="K55" s="22" t="s">
        <v>15</v>
      </c>
      <c r="L55" s="22" t="s">
        <v>15</v>
      </c>
      <c r="M55" s="22" t="s">
        <v>15</v>
      </c>
      <c r="N55" s="1" t="s">
        <v>104</v>
      </c>
    </row>
    <row r="56" customFormat="false" ht="15" hidden="false" customHeight="true" outlineLevel="0" collapsed="false">
      <c r="A56" s="10" t="str">
        <f aca="false">IFERROR(VLOOKUP(B56,'Product Master'!$A:$C,3,0),"")</f>
        <v>ATALANTA</v>
      </c>
      <c r="B56" s="11" t="s">
        <v>105</v>
      </c>
      <c r="C56" s="12" t="str">
        <f aca="false">IFERROR(VLOOKUP(B56,'Product Master'!$A:$B,2,0),"")</f>
        <v>PARMIGIANO REGGIANO, 12 MONTH [AGRIFORM]</v>
      </c>
      <c r="D56" s="13" t="str">
        <f aca="false">IFERROR(VLOOKUP(B56,'Product Master'!$A:$E,5,0),"")</f>
        <v>lb</v>
      </c>
      <c r="E56" s="33" t="str">
        <f aca="false">IFERROR(VLOOKUP(B56,'Product Master'!$A:$D,4,0),"")</f>
        <v>Dairy &amp; Eggs</v>
      </c>
      <c r="F56" s="15"/>
      <c r="G56" s="16" t="s">
        <v>15</v>
      </c>
      <c r="H56" s="16" t="s">
        <v>15</v>
      </c>
      <c r="I56" s="16" t="s">
        <v>15</v>
      </c>
      <c r="J56" s="16" t="s">
        <v>15</v>
      </c>
      <c r="K56" s="16" t="s">
        <v>15</v>
      </c>
      <c r="L56" s="16" t="s">
        <v>15</v>
      </c>
      <c r="M56" s="16" t="s">
        <v>15</v>
      </c>
      <c r="N56" s="1" t="s">
        <v>106</v>
      </c>
    </row>
    <row r="57" customFormat="false" ht="15" hidden="false" customHeight="true" outlineLevel="0" collapsed="false">
      <c r="A57" s="17" t="str">
        <f aca="false">IFERROR(VLOOKUP(B57,'Product Master'!$A:$C,3,0),"")</f>
        <v>ATALANTA</v>
      </c>
      <c r="B57" s="18" t="s">
        <v>107</v>
      </c>
      <c r="C57" s="19" t="str">
        <f aca="false">IFERROR(VLOOKUP(B57,'Product Master'!$A:$B,2,0),"")</f>
        <v>TALEGGIO DOP [ARRIGONI]</v>
      </c>
      <c r="D57" s="20" t="str">
        <f aca="false">IFERROR(VLOOKUP(B57,'Product Master'!$A:$E,5,0),"")</f>
        <v>lb</v>
      </c>
      <c r="E57" s="33" t="str">
        <f aca="false">IFERROR(VLOOKUP(B57,'Product Master'!$A:$D,4,0),"")</f>
        <v>Dairy &amp; Eggs</v>
      </c>
      <c r="F57" s="21"/>
      <c r="G57" s="22" t="s">
        <v>15</v>
      </c>
      <c r="H57" s="22" t="s">
        <v>15</v>
      </c>
      <c r="I57" s="22" t="s">
        <v>15</v>
      </c>
      <c r="J57" s="22" t="s">
        <v>15</v>
      </c>
      <c r="K57" s="22" t="s">
        <v>15</v>
      </c>
      <c r="L57" s="22" t="s">
        <v>15</v>
      </c>
      <c r="M57" s="22" t="s">
        <v>15</v>
      </c>
      <c r="N57" s="1" t="s">
        <v>54</v>
      </c>
    </row>
    <row r="58" customFormat="false" ht="12.75" hidden="false" customHeight="true" outlineLevel="0" collapsed="false">
      <c r="A58" s="9" t="s">
        <v>12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" t="s">
        <v>13</v>
      </c>
    </row>
    <row r="59" customFormat="false" ht="15" hidden="false" customHeight="true" outlineLevel="0" collapsed="false">
      <c r="A59" s="10" t="str">
        <f aca="false">IFERROR(VLOOKUP(B59,'Product Master'!$A:$C,3,0),"")</f>
        <v>ATALANTA</v>
      </c>
      <c r="B59" s="11" t="s">
        <v>108</v>
      </c>
      <c r="C59" s="12" t="str">
        <f aca="false">IFERROR(VLOOKUP(B59,'Product Master'!$A:$B,2,0),"")</f>
        <v>ARTICHOKES, ROMAN WITH STEMS (SOLEGGIATI MENU)</v>
      </c>
      <c r="D59" s="13" t="str">
        <f aca="false">IFERROR(VLOOKUP(B59,'Product Master'!$A:$E,5,0),"")</f>
        <v>ea</v>
      </c>
      <c r="E59" s="14" t="str">
        <f aca="false">IFERROR(VLOOKUP(B59,'Product Master'!$A:$D,4,0),"")</f>
        <v>Dry Goods &amp; Pantry</v>
      </c>
      <c r="F59" s="15"/>
      <c r="G59" s="16" t="s">
        <v>15</v>
      </c>
      <c r="H59" s="16" t="s">
        <v>15</v>
      </c>
      <c r="I59" s="16" t="s">
        <v>15</v>
      </c>
      <c r="J59" s="16" t="s">
        <v>15</v>
      </c>
      <c r="K59" s="16" t="s">
        <v>15</v>
      </c>
      <c r="L59" s="16" t="s">
        <v>15</v>
      </c>
      <c r="M59" s="16" t="s">
        <v>15</v>
      </c>
      <c r="N59" s="1" t="s">
        <v>109</v>
      </c>
    </row>
    <row r="60" customFormat="false" ht="15" hidden="false" customHeight="true" outlineLevel="0" collapsed="false">
      <c r="A60" s="17" t="str">
        <f aca="false">IFERROR(VLOOKUP(B60,'Product Master'!$A:$C,3,0),"")</f>
        <v>ATALANTA</v>
      </c>
      <c r="B60" s="18" t="s">
        <v>110</v>
      </c>
      <c r="C60" s="19" t="str">
        <f aca="false">IFERROR(VLOOKUP(B60,'Product Master'!$A:$B,2,0),"")</f>
        <v>OLIVES, GAETA [FRUTTO D'ITALIA]</v>
      </c>
      <c r="D60" s="20" t="str">
        <f aca="false">IFERROR(VLOOKUP(B60,'Product Master'!$A:$E,5,0),"")</f>
        <v>ea</v>
      </c>
      <c r="E60" s="14" t="str">
        <f aca="false">IFERROR(VLOOKUP(B60,'Product Master'!$A:$D,4,0),"")</f>
        <v>Dry Goods &amp; Pantry</v>
      </c>
      <c r="F60" s="21"/>
      <c r="G60" s="22" t="s">
        <v>15</v>
      </c>
      <c r="H60" s="22" t="s">
        <v>15</v>
      </c>
      <c r="I60" s="22" t="s">
        <v>15</v>
      </c>
      <c r="J60" s="22" t="s">
        <v>15</v>
      </c>
      <c r="K60" s="22" t="s">
        <v>15</v>
      </c>
      <c r="L60" s="22" t="s">
        <v>15</v>
      </c>
      <c r="M60" s="22" t="s">
        <v>15</v>
      </c>
      <c r="N60" s="1" t="s">
        <v>111</v>
      </c>
    </row>
    <row r="61" customFormat="false" ht="15" hidden="false" customHeight="true" outlineLevel="0" collapsed="false">
      <c r="A61" s="10" t="str">
        <f aca="false">IFERROR(VLOOKUP(B61,'Product Master'!$A:$C,3,0),"")</f>
        <v>ATALANTA</v>
      </c>
      <c r="B61" s="11" t="s">
        <v>112</v>
      </c>
      <c r="C61" s="12" t="str">
        <f aca="false">IFERROR(VLOOKUP(B61,'Product Master'!$A:$B,2,0),"")</f>
        <v>OLIVES, GREEN CASTELVETRANO [FRUTTO D'ITALIA]</v>
      </c>
      <c r="D61" s="13" t="str">
        <f aca="false">IFERROR(VLOOKUP(B61,'Product Master'!$A:$E,5,0),"")</f>
        <v>ea</v>
      </c>
      <c r="E61" s="14" t="str">
        <f aca="false">IFERROR(VLOOKUP(B61,'Product Master'!$A:$D,4,0),"")</f>
        <v>Dry Goods &amp; Pantry</v>
      </c>
      <c r="F61" s="15"/>
      <c r="G61" s="16" t="s">
        <v>15</v>
      </c>
      <c r="H61" s="16" t="s">
        <v>15</v>
      </c>
      <c r="I61" s="16" t="s">
        <v>15</v>
      </c>
      <c r="J61" s="16" t="s">
        <v>15</v>
      </c>
      <c r="K61" s="16" t="s">
        <v>15</v>
      </c>
      <c r="L61" s="16" t="s">
        <v>15</v>
      </c>
      <c r="M61" s="16" t="s">
        <v>15</v>
      </c>
      <c r="N61" s="1" t="s">
        <v>111</v>
      </c>
    </row>
    <row r="62" customFormat="false" ht="15" hidden="false" customHeight="true" outlineLevel="0" collapsed="false">
      <c r="A62" s="17" t="str">
        <f aca="false">IFERROR(VLOOKUP(B62,'Product Master'!$A:$C,3,0),"")</f>
        <v>ATALANTA</v>
      </c>
      <c r="B62" s="18" t="s">
        <v>113</v>
      </c>
      <c r="C62" s="19" t="str">
        <f aca="false">IFERROR(VLOOKUP(B62,'Product Master'!$A:$B,2,0),"")</f>
        <v>OLIVES, GREEN CERIGNOLA [FRUTTO D'ITALIA]</v>
      </c>
      <c r="D62" s="20" t="str">
        <f aca="false">IFERROR(VLOOKUP(B62,'Product Master'!$A:$E,5,0),"")</f>
        <v>ea</v>
      </c>
      <c r="E62" s="14" t="str">
        <f aca="false">IFERROR(VLOOKUP(B62,'Product Master'!$A:$D,4,0),"")</f>
        <v>Dry Goods &amp; Pantry</v>
      </c>
      <c r="F62" s="21"/>
      <c r="G62" s="22" t="s">
        <v>15</v>
      </c>
      <c r="H62" s="22" t="s">
        <v>15</v>
      </c>
      <c r="I62" s="22" t="s">
        <v>15</v>
      </c>
      <c r="J62" s="22" t="s">
        <v>15</v>
      </c>
      <c r="K62" s="22" t="s">
        <v>15</v>
      </c>
      <c r="L62" s="22" t="s">
        <v>15</v>
      </c>
      <c r="M62" s="22" t="s">
        <v>15</v>
      </c>
      <c r="N62" s="1" t="s">
        <v>111</v>
      </c>
    </row>
    <row r="63" customFormat="false" ht="15" hidden="false" customHeight="true" outlineLevel="0" collapsed="false">
      <c r="A63" s="10" t="str">
        <f aca="false">IFERROR(VLOOKUP(B63,'Product Master'!$A:$C,3,0),"")</f>
        <v>ATALANTA</v>
      </c>
      <c r="B63" s="11" t="s">
        <v>114</v>
      </c>
      <c r="C63" s="12" t="str">
        <f aca="false">IFERROR(VLOOKUP(B63,'Product Master'!$A:$B,2,0),"")</f>
        <v>OLIVES, TAGGIASCA PITTED [FRUTTO D'ITALIA]</v>
      </c>
      <c r="D63" s="13" t="str">
        <f aca="false">IFERROR(VLOOKUP(B63,'Product Master'!$A:$E,5,0),"")</f>
        <v>ea</v>
      </c>
      <c r="E63" s="14" t="str">
        <f aca="false">IFERROR(VLOOKUP(B63,'Product Master'!$A:$D,4,0),"")</f>
        <v>Dry Goods &amp; Pantry</v>
      </c>
      <c r="F63" s="15"/>
      <c r="G63" s="16" t="s">
        <v>15</v>
      </c>
      <c r="H63" s="16" t="s">
        <v>15</v>
      </c>
      <c r="I63" s="16" t="s">
        <v>15</v>
      </c>
      <c r="J63" s="16" t="s">
        <v>15</v>
      </c>
      <c r="K63" s="16" t="s">
        <v>15</v>
      </c>
      <c r="L63" s="16" t="s">
        <v>15</v>
      </c>
      <c r="M63" s="16" t="s">
        <v>15</v>
      </c>
      <c r="N63" s="1" t="s">
        <v>115</v>
      </c>
    </row>
    <row r="64" customFormat="false" ht="15" hidden="false" customHeight="true" outlineLevel="0" collapsed="false">
      <c r="A64" s="17" t="str">
        <f aca="false">IFERROR(VLOOKUP(B64,'Product Master'!$A:$C,3,0),"")</f>
        <v>ATALANTA</v>
      </c>
      <c r="B64" s="18" t="s">
        <v>116</v>
      </c>
      <c r="C64" s="19" t="str">
        <f aca="false">IFERROR(VLOOKUP(B64,'Product Master'!$A:$B,2,0),"")</f>
        <v>OLIVES, TAGGIASCA [FRUTTO D'ITALIA]</v>
      </c>
      <c r="D64" s="20" t="str">
        <f aca="false">IFERROR(VLOOKUP(B64,'Product Master'!$A:$E,5,0),"")</f>
        <v>ea</v>
      </c>
      <c r="E64" s="14" t="str">
        <f aca="false">IFERROR(VLOOKUP(B64,'Product Master'!$A:$D,4,0),"")</f>
        <v>Dry Goods &amp; Pantry</v>
      </c>
      <c r="F64" s="21"/>
      <c r="G64" s="22" t="s">
        <v>15</v>
      </c>
      <c r="H64" s="22" t="s">
        <v>15</v>
      </c>
      <c r="I64" s="22" t="s">
        <v>15</v>
      </c>
      <c r="J64" s="22" t="s">
        <v>15</v>
      </c>
      <c r="K64" s="22" t="s">
        <v>15</v>
      </c>
      <c r="L64" s="22" t="s">
        <v>15</v>
      </c>
      <c r="M64" s="22" t="s">
        <v>15</v>
      </c>
      <c r="N64" s="1" t="s">
        <v>111</v>
      </c>
    </row>
    <row r="65" customFormat="false" ht="12.75" hidden="false" customHeight="true" outlineLevel="0" collapsed="false">
      <c r="A65" s="23" t="s">
        <v>19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1" t="s">
        <v>13</v>
      </c>
    </row>
    <row r="66" customFormat="false" ht="15" hidden="false" customHeight="true" outlineLevel="0" collapsed="false">
      <c r="A66" s="10" t="str">
        <f aca="false">IFERROR(VLOOKUP(B66,'Product Master'!$A:$C,3,0),"")</f>
        <v>ATALANTA</v>
      </c>
      <c r="B66" s="11" t="s">
        <v>117</v>
      </c>
      <c r="C66" s="12" t="str">
        <f aca="false">IFERROR(VLOOKUP(B66,'Product Master'!$A:$B,2,0),"")</f>
        <v>GUANCIALE [SALUMIFICIO SAN CARLO]</v>
      </c>
      <c r="D66" s="13" t="str">
        <f aca="false">IFERROR(VLOOKUP(B66,'Product Master'!$A:$E,5,0),"")</f>
        <v>lb</v>
      </c>
      <c r="E66" s="24" t="str">
        <f aca="false">IFERROR(VLOOKUP(B66,'Product Master'!$A:$D,4,0),"")</f>
        <v>Other</v>
      </c>
      <c r="F66" s="15"/>
      <c r="G66" s="16" t="s">
        <v>15</v>
      </c>
      <c r="H66" s="16" t="s">
        <v>15</v>
      </c>
      <c r="I66" s="16" t="s">
        <v>15</v>
      </c>
      <c r="J66" s="16" t="s">
        <v>15</v>
      </c>
      <c r="K66" s="16" t="s">
        <v>15</v>
      </c>
      <c r="L66" s="16" t="s">
        <v>15</v>
      </c>
      <c r="M66" s="16" t="s">
        <v>15</v>
      </c>
      <c r="N66" s="1" t="s">
        <v>118</v>
      </c>
    </row>
    <row r="67" customFormat="false" ht="15" hidden="false" customHeight="true" outlineLevel="0" collapsed="false">
      <c r="A67" s="17" t="str">
        <f aca="false">IFERROR(VLOOKUP(B67,'Product Master'!$A:$C,3,0),"")</f>
        <v>ATALANTA</v>
      </c>
      <c r="B67" s="18" t="s">
        <v>119</v>
      </c>
      <c r="C67" s="19" t="str">
        <f aca="false">IFERROR(VLOOKUP(B67,'Product Master'!$A:$B,2,0),"")</f>
        <v>PROVOLONE, SPICY GIGANTE (GHIDETTI)</v>
      </c>
      <c r="D67" s="20" t="str">
        <f aca="false">IFERROR(VLOOKUP(B67,'Product Master'!$A:$E,5,0),"")</f>
        <v>ea</v>
      </c>
      <c r="E67" s="24" t="str">
        <f aca="false">IFERROR(VLOOKUP(B67,'Product Master'!$A:$D,4,0),"")</f>
        <v>Other</v>
      </c>
      <c r="F67" s="21"/>
      <c r="G67" s="22" t="s">
        <v>15</v>
      </c>
      <c r="H67" s="22" t="s">
        <v>15</v>
      </c>
      <c r="I67" s="22" t="s">
        <v>15</v>
      </c>
      <c r="J67" s="22" t="s">
        <v>15</v>
      </c>
      <c r="K67" s="22" t="s">
        <v>15</v>
      </c>
      <c r="L67" s="22" t="s">
        <v>15</v>
      </c>
      <c r="M67" s="22" t="s">
        <v>15</v>
      </c>
      <c r="N67" s="1" t="s">
        <v>54</v>
      </c>
    </row>
    <row r="68" customFormat="false" ht="19.5" hidden="false" customHeight="true" outlineLevel="0" collapsed="false">
      <c r="A68" s="34" t="s">
        <v>120</v>
      </c>
      <c r="B68" s="34"/>
      <c r="C68" s="35" t="s">
        <v>121</v>
      </c>
      <c r="D68" s="35"/>
      <c r="E68" s="35"/>
      <c r="F68" s="36" t="s">
        <v>10</v>
      </c>
      <c r="G68" s="36"/>
      <c r="H68" s="36"/>
      <c r="I68" s="36"/>
      <c r="J68" s="36"/>
      <c r="K68" s="36"/>
      <c r="L68" s="36"/>
      <c r="M68" s="36"/>
      <c r="N68" s="1" t="s">
        <v>11</v>
      </c>
    </row>
    <row r="69" customFormat="false" ht="12.75" hidden="false" customHeight="true" outlineLevel="0" collapsed="false">
      <c r="A69" s="37" t="s">
        <v>122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1" t="s">
        <v>13</v>
      </c>
    </row>
    <row r="70" customFormat="false" ht="15" hidden="false" customHeight="true" outlineLevel="0" collapsed="false">
      <c r="A70" s="10" t="str">
        <f aca="false">IFERROR(VLOOKUP(B70,'Product Master'!$A:$C,3,0),"")</f>
        <v>PRIME FOODS</v>
      </c>
      <c r="B70" s="11" t="s">
        <v>123</v>
      </c>
      <c r="C70" s="12" t="str">
        <f aca="false">IFERROR(VLOOKUP(B70,'Product Master'!$A:$B,2,0),"")</f>
        <v>BEEF, 80/20 COARSE CHOPPED GRIND [DOUBLE R RANCH]</v>
      </c>
      <c r="D70" s="13" t="str">
        <f aca="false">IFERROR(VLOOKUP(B70,'Product Master'!$A:$E,5,0),"")</f>
        <v>lb</v>
      </c>
      <c r="E70" s="38" t="str">
        <f aca="false">IFERROR(VLOOKUP(B70,'Product Master'!$A:$D,4,0),"")</f>
        <v>Proteins - Meat</v>
      </c>
      <c r="F70" s="15"/>
      <c r="G70" s="16" t="s">
        <v>15</v>
      </c>
      <c r="H70" s="16" t="s">
        <v>15</v>
      </c>
      <c r="I70" s="16" t="s">
        <v>15</v>
      </c>
      <c r="J70" s="16" t="s">
        <v>15</v>
      </c>
      <c r="K70" s="16" t="s">
        <v>15</v>
      </c>
      <c r="L70" s="16" t="s">
        <v>15</v>
      </c>
      <c r="M70" s="16" t="s">
        <v>15</v>
      </c>
      <c r="N70" s="1" t="s">
        <v>124</v>
      </c>
    </row>
    <row r="71" customFormat="false" ht="15" hidden="false" customHeight="true" outlineLevel="0" collapsed="false">
      <c r="A71" s="17" t="str">
        <f aca="false">IFERROR(VLOOKUP(B71,'Product Master'!$A:$C,3,0),"")</f>
        <v>PRIME FOODS</v>
      </c>
      <c r="B71" s="18" t="s">
        <v>125</v>
      </c>
      <c r="C71" s="19" t="str">
        <f aca="false">IFERROR(VLOOKUP(B71,'Product Master'!$A:$B,2,0),"")</f>
        <v>BEEF, CHOICE 0X1 STRIPLOIN [DOUBLE R RANCH]</v>
      </c>
      <c r="D71" s="20" t="str">
        <f aca="false">IFERROR(VLOOKUP(B71,'Product Master'!$A:$E,5,0),"")</f>
        <v>lb</v>
      </c>
      <c r="E71" s="38" t="str">
        <f aca="false">IFERROR(VLOOKUP(B71,'Product Master'!$A:$D,4,0),"")</f>
        <v>Proteins - Meat</v>
      </c>
      <c r="F71" s="21"/>
      <c r="G71" s="22" t="s">
        <v>15</v>
      </c>
      <c r="H71" s="22" t="s">
        <v>15</v>
      </c>
      <c r="I71" s="22" t="s">
        <v>15</v>
      </c>
      <c r="J71" s="22" t="s">
        <v>15</v>
      </c>
      <c r="K71" s="22" t="s">
        <v>15</v>
      </c>
      <c r="L71" s="22" t="s">
        <v>15</v>
      </c>
      <c r="M71" s="22" t="s">
        <v>15</v>
      </c>
      <c r="N71" s="1" t="s">
        <v>44</v>
      </c>
    </row>
    <row r="72" customFormat="false" ht="15" hidden="false" customHeight="true" outlineLevel="0" collapsed="false">
      <c r="A72" s="10" t="str">
        <f aca="false">IFERROR(VLOOKUP(B72,'Product Master'!$A:$C,3,0),"")</f>
        <v>PRIME FOODS</v>
      </c>
      <c r="B72" s="11" t="s">
        <v>126</v>
      </c>
      <c r="C72" s="12" t="str">
        <f aca="false">IFERROR(VLOOKUP(B72,'Product Master'!$A:$B,2,0),"")</f>
        <v>WAGYU, CHUCK ZABUTON- BLACK [SNAKE RIVER FARMS]</v>
      </c>
      <c r="D72" s="13" t="str">
        <f aca="false">IFERROR(VLOOKUP(B72,'Product Master'!$A:$E,5,0),"")</f>
        <v>lb</v>
      </c>
      <c r="E72" s="38" t="str">
        <f aca="false">IFERROR(VLOOKUP(B72,'Product Master'!$A:$D,4,0),"")</f>
        <v>Proteins - Meat</v>
      </c>
      <c r="F72" s="15"/>
      <c r="G72" s="16" t="s">
        <v>15</v>
      </c>
      <c r="H72" s="16" t="s">
        <v>15</v>
      </c>
      <c r="I72" s="16" t="s">
        <v>15</v>
      </c>
      <c r="J72" s="16" t="s">
        <v>15</v>
      </c>
      <c r="K72" s="16" t="s">
        <v>15</v>
      </c>
      <c r="L72" s="16" t="s">
        <v>15</v>
      </c>
      <c r="M72" s="16" t="s">
        <v>15</v>
      </c>
      <c r="N72" s="1" t="s">
        <v>127</v>
      </c>
    </row>
    <row r="73" customFormat="false" ht="19.5" hidden="false" customHeight="true" outlineLevel="0" collapsed="false">
      <c r="A73" s="39" t="s">
        <v>128</v>
      </c>
      <c r="B73" s="39"/>
      <c r="C73" s="40" t="s">
        <v>129</v>
      </c>
      <c r="D73" s="40"/>
      <c r="E73" s="40"/>
      <c r="F73" s="41" t="s">
        <v>10</v>
      </c>
      <c r="G73" s="41"/>
      <c r="H73" s="41"/>
      <c r="I73" s="41"/>
      <c r="J73" s="41"/>
      <c r="K73" s="41"/>
      <c r="L73" s="41"/>
      <c r="M73" s="41"/>
      <c r="N73" s="1" t="s">
        <v>11</v>
      </c>
    </row>
    <row r="74" customFormat="false" ht="12.75" hidden="false" customHeight="true" outlineLevel="0" collapsed="false">
      <c r="A74" s="32" t="s">
        <v>101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1" t="s">
        <v>13</v>
      </c>
    </row>
    <row r="75" customFormat="false" ht="15" hidden="false" customHeight="true" outlineLevel="0" collapsed="false">
      <c r="A75" s="10" t="str">
        <f aca="false">IFERROR(VLOOKUP(B75,'Product Master'!$A:$C,3,0),"")</f>
        <v>PRIME LINE</v>
      </c>
      <c r="B75" s="11" t="s">
        <v>130</v>
      </c>
      <c r="C75" s="12" t="str">
        <f aca="false">IFERROR(VLOOKUP(B75,'Product Master'!$A:$B,2,0),"")</f>
        <v>MOZZARELLA, CURD [TOSCANA]</v>
      </c>
      <c r="D75" s="13" t="str">
        <f aca="false">IFERROR(VLOOKUP(B75,'Product Master'!$A:$E,5,0),"")</f>
        <v>lb</v>
      </c>
      <c r="E75" s="33" t="str">
        <f aca="false">IFERROR(VLOOKUP(B75,'Product Master'!$A:$D,4,0),"")</f>
        <v>Dairy &amp; Eggs</v>
      </c>
      <c r="F75" s="15"/>
      <c r="G75" s="16" t="s">
        <v>15</v>
      </c>
      <c r="H75" s="16" t="s">
        <v>15</v>
      </c>
      <c r="I75" s="16" t="s">
        <v>15</v>
      </c>
      <c r="J75" s="16" t="s">
        <v>15</v>
      </c>
      <c r="K75" s="16" t="s">
        <v>15</v>
      </c>
      <c r="L75" s="16" t="s">
        <v>15</v>
      </c>
      <c r="M75" s="16" t="s">
        <v>15</v>
      </c>
      <c r="N75" s="1" t="s">
        <v>131</v>
      </c>
    </row>
    <row r="76" customFormat="false" ht="19.5" hidden="false" customHeight="true" outlineLevel="0" collapsed="false">
      <c r="A76" s="42" t="s">
        <v>132</v>
      </c>
      <c r="B76" s="42"/>
      <c r="C76" s="43" t="s">
        <v>133</v>
      </c>
      <c r="D76" s="43"/>
      <c r="E76" s="43"/>
      <c r="F76" s="44" t="s">
        <v>10</v>
      </c>
      <c r="G76" s="44"/>
      <c r="H76" s="44"/>
      <c r="I76" s="44"/>
      <c r="J76" s="44"/>
      <c r="K76" s="44"/>
      <c r="L76" s="44"/>
      <c r="M76" s="44"/>
      <c r="N76" s="1" t="s">
        <v>11</v>
      </c>
    </row>
    <row r="77" customFormat="false" ht="12.75" hidden="false" customHeight="true" outlineLevel="0" collapsed="false">
      <c r="A77" s="37" t="s">
        <v>122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1" t="s">
        <v>13</v>
      </c>
    </row>
    <row r="78" customFormat="false" ht="15" hidden="false" customHeight="true" outlineLevel="0" collapsed="false">
      <c r="A78" s="10" t="str">
        <f aca="false">IFERROR(VLOOKUP(B78,'Product Master'!$A:$C,3,0),"")</f>
        <v>LA FRIEDA</v>
      </c>
      <c r="B78" s="11" t="s">
        <v>134</v>
      </c>
      <c r="C78" s="12" t="str">
        <f aca="false">IFERROR(VLOOKUP(B78,'Product Master'!$A:$B,2,0),"")</f>
        <v>LARD, PORK BULK [MORRELL]</v>
      </c>
      <c r="D78" s="13" t="str">
        <f aca="false">IFERROR(VLOOKUP(B78,'Product Master'!$A:$E,5,0),"")</f>
        <v>lb</v>
      </c>
      <c r="E78" s="38" t="str">
        <f aca="false">IFERROR(VLOOKUP(B78,'Product Master'!$A:$D,4,0),"")</f>
        <v>Proteins - Meat</v>
      </c>
      <c r="F78" s="15"/>
      <c r="G78" s="16" t="s">
        <v>15</v>
      </c>
      <c r="H78" s="16" t="s">
        <v>15</v>
      </c>
      <c r="I78" s="16" t="s">
        <v>15</v>
      </c>
      <c r="J78" s="16" t="s">
        <v>15</v>
      </c>
      <c r="K78" s="16" t="s">
        <v>15</v>
      </c>
      <c r="L78" s="16" t="s">
        <v>15</v>
      </c>
      <c r="M78" s="16" t="s">
        <v>15</v>
      </c>
      <c r="N78" s="1" t="s">
        <v>39</v>
      </c>
    </row>
    <row r="79" customFormat="false" ht="15" hidden="false" customHeight="true" outlineLevel="0" collapsed="false">
      <c r="A79" s="17" t="str">
        <f aca="false">IFERROR(VLOOKUP(B79,'Product Master'!$A:$C,3,0),"")</f>
        <v>LA FRIEDA</v>
      </c>
      <c r="B79" s="18" t="s">
        <v>135</v>
      </c>
      <c r="C79" s="19" t="str">
        <f aca="false">IFERROR(VLOOKUP(B79,'Product Master'!$A:$B,2,0),"")</f>
        <v>PORK, COARSE CHOPPED 1/2 GRIND</v>
      </c>
      <c r="D79" s="20" t="str">
        <f aca="false">IFERROR(VLOOKUP(B79,'Product Master'!$A:$E,5,0),"")</f>
        <v>lb</v>
      </c>
      <c r="E79" s="38" t="str">
        <f aca="false">IFERROR(VLOOKUP(B79,'Product Master'!$A:$D,4,0),"")</f>
        <v>Proteins - Meat</v>
      </c>
      <c r="F79" s="21"/>
      <c r="G79" s="22" t="s">
        <v>15</v>
      </c>
      <c r="H79" s="22" t="s">
        <v>15</v>
      </c>
      <c r="I79" s="22" t="s">
        <v>15</v>
      </c>
      <c r="J79" s="22" t="s">
        <v>15</v>
      </c>
      <c r="K79" s="22" t="s">
        <v>15</v>
      </c>
      <c r="L79" s="22" t="s">
        <v>15</v>
      </c>
      <c r="M79" s="22" t="s">
        <v>15</v>
      </c>
      <c r="N79" s="1" t="s">
        <v>124</v>
      </c>
    </row>
    <row r="80" customFormat="false" ht="19.5" hidden="false" customHeight="true" outlineLevel="0" collapsed="false">
      <c r="A80" s="45" t="s">
        <v>136</v>
      </c>
      <c r="B80" s="45"/>
      <c r="C80" s="46" t="s">
        <v>137</v>
      </c>
      <c r="D80" s="46"/>
      <c r="E80" s="46"/>
      <c r="F80" s="47" t="s">
        <v>10</v>
      </c>
      <c r="G80" s="47"/>
      <c r="H80" s="47"/>
      <c r="I80" s="47"/>
      <c r="J80" s="47"/>
      <c r="K80" s="47"/>
      <c r="L80" s="47"/>
      <c r="M80" s="47"/>
      <c r="N80" s="1" t="s">
        <v>11</v>
      </c>
    </row>
    <row r="81" customFormat="false" ht="12.75" hidden="false" customHeight="true" outlineLevel="0" collapsed="false">
      <c r="A81" s="48" t="s">
        <v>138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1" t="s">
        <v>13</v>
      </c>
    </row>
    <row r="82" customFormat="false" ht="15" hidden="false" customHeight="true" outlineLevel="0" collapsed="false">
      <c r="A82" s="10" t="str">
        <f aca="false">IFERROR(VLOOKUP(B82,'Product Master'!$A:$C,3,0),"")</f>
        <v>SAMUEL &amp; SONS</v>
      </c>
      <c r="B82" s="11" t="s">
        <v>139</v>
      </c>
      <c r="C82" s="12" t="str">
        <f aca="false">IFERROR(VLOOKUP(B82,'Product Master'!$A:$B,2,0),"")</f>
        <v>BRANZINO, WHOLE 400-600G FARMED GREECE</v>
      </c>
      <c r="D82" s="13" t="str">
        <f aca="false">IFERROR(VLOOKUP(B82,'Product Master'!$A:$E,5,0),"")</f>
        <v>lb</v>
      </c>
      <c r="E82" s="49" t="str">
        <f aca="false">IFERROR(VLOOKUP(B82,'Product Master'!$A:$D,4,0),"")</f>
        <v>Proteins - Seafood</v>
      </c>
      <c r="F82" s="15"/>
      <c r="G82" s="16" t="s">
        <v>15</v>
      </c>
      <c r="H82" s="16" t="s">
        <v>15</v>
      </c>
      <c r="I82" s="16" t="s">
        <v>15</v>
      </c>
      <c r="J82" s="16" t="s">
        <v>15</v>
      </c>
      <c r="K82" s="16" t="s">
        <v>15</v>
      </c>
      <c r="L82" s="16" t="s">
        <v>15</v>
      </c>
      <c r="M82" s="16" t="s">
        <v>15</v>
      </c>
      <c r="N82" s="1" t="s">
        <v>115</v>
      </c>
    </row>
    <row r="83" customFormat="false" ht="15" hidden="false" customHeight="true" outlineLevel="0" collapsed="false">
      <c r="A83" s="17" t="str">
        <f aca="false">IFERROR(VLOOKUP(B83,'Product Master'!$A:$C,3,0),"")</f>
        <v>SAMUEL &amp; SONS</v>
      </c>
      <c r="B83" s="18" t="s">
        <v>140</v>
      </c>
      <c r="C83" s="19" t="str">
        <f aca="false">IFERROR(VLOOKUP(B83,'Product Master'!$A:$B,2,0),"")</f>
        <v>CLAMS, MANILA WILD WASHINGTON</v>
      </c>
      <c r="D83" s="20" t="str">
        <f aca="false">IFERROR(VLOOKUP(B83,'Product Master'!$A:$E,5,0),"")</f>
        <v>lb</v>
      </c>
      <c r="E83" s="49" t="str">
        <f aca="false">IFERROR(VLOOKUP(B83,'Product Master'!$A:$D,4,0),"")</f>
        <v>Proteins - Seafood</v>
      </c>
      <c r="F83" s="21"/>
      <c r="G83" s="22" t="s">
        <v>15</v>
      </c>
      <c r="H83" s="22" t="s">
        <v>15</v>
      </c>
      <c r="I83" s="22" t="s">
        <v>15</v>
      </c>
      <c r="J83" s="22" t="s">
        <v>15</v>
      </c>
      <c r="K83" s="22" t="s">
        <v>15</v>
      </c>
      <c r="L83" s="22" t="s">
        <v>15</v>
      </c>
      <c r="M83" s="22" t="s">
        <v>15</v>
      </c>
      <c r="N83" s="1" t="s">
        <v>93</v>
      </c>
    </row>
    <row r="84" customFormat="false" ht="15" hidden="false" customHeight="true" outlineLevel="0" collapsed="false">
      <c r="A84" s="10" t="str">
        <f aca="false">IFERROR(VLOOKUP(B84,'Product Master'!$A:$C,3,0),"")</f>
        <v>SAMUEL &amp; SONS</v>
      </c>
      <c r="B84" s="11" t="s">
        <v>141</v>
      </c>
      <c r="C84" s="12" t="str">
        <f aca="false">IFERROR(VLOOKUP(B84,'Product Master'!$A:$B,2,0),"")</f>
        <v>MUSSELS, PEI 10LB BAG FARMED</v>
      </c>
      <c r="D84" s="13" t="str">
        <f aca="false">IFERROR(VLOOKUP(B84,'Product Master'!$A:$E,5,0),"")</f>
        <v>lb</v>
      </c>
      <c r="E84" s="49" t="str">
        <f aca="false">IFERROR(VLOOKUP(B84,'Product Master'!$A:$D,4,0),"")</f>
        <v>Proteins - Seafood</v>
      </c>
      <c r="F84" s="15"/>
      <c r="G84" s="16" t="s">
        <v>15</v>
      </c>
      <c r="H84" s="16" t="s">
        <v>15</v>
      </c>
      <c r="I84" s="16" t="s">
        <v>15</v>
      </c>
      <c r="J84" s="16" t="s">
        <v>15</v>
      </c>
      <c r="K84" s="16" t="s">
        <v>15</v>
      </c>
      <c r="L84" s="16" t="s">
        <v>15</v>
      </c>
      <c r="M84" s="16" t="s">
        <v>15</v>
      </c>
      <c r="N84" s="1" t="s">
        <v>93</v>
      </c>
    </row>
    <row r="85" customFormat="false" ht="19.5" hidden="false" customHeight="true" outlineLevel="0" collapsed="false">
      <c r="A85" s="50" t="s">
        <v>142</v>
      </c>
      <c r="B85" s="50"/>
      <c r="C85" s="51" t="s">
        <v>143</v>
      </c>
      <c r="D85" s="51"/>
      <c r="E85" s="51"/>
      <c r="F85" s="52" t="s">
        <v>10</v>
      </c>
      <c r="G85" s="52"/>
      <c r="H85" s="52"/>
      <c r="I85" s="52"/>
      <c r="J85" s="52"/>
      <c r="K85" s="52"/>
      <c r="L85" s="52"/>
      <c r="M85" s="52"/>
      <c r="N85" s="1" t="s">
        <v>11</v>
      </c>
    </row>
    <row r="86" customFormat="false" ht="12.75" hidden="false" customHeight="true" outlineLevel="0" collapsed="false">
      <c r="A86" s="48" t="s">
        <v>138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1" t="s">
        <v>13</v>
      </c>
    </row>
    <row r="87" customFormat="false" ht="15" hidden="false" customHeight="true" outlineLevel="0" collapsed="false">
      <c r="A87" s="10" t="str">
        <f aca="false">IFERROR(VLOOKUP(B87,'Product Master'!$A:$C,3,0),"")</f>
        <v>JOHN NAGLE</v>
      </c>
      <c r="B87" s="11" t="s">
        <v>144</v>
      </c>
      <c r="C87" s="12" t="str">
        <f aca="false">IFERROR(VLOOKUP(B87,'Product Master'!$A:$B,2,0),"")</f>
        <v>LOBSTER, BODIES</v>
      </c>
      <c r="D87" s="13" t="str">
        <f aca="false">IFERROR(VLOOKUP(B87,'Product Master'!$A:$E,5,0),"")</f>
        <v>lb</v>
      </c>
      <c r="E87" s="49" t="str">
        <f aca="false">IFERROR(VLOOKUP(B87,'Product Master'!$A:$D,4,0),"")</f>
        <v>Proteins - Seafood</v>
      </c>
      <c r="F87" s="15"/>
      <c r="G87" s="16" t="s">
        <v>15</v>
      </c>
      <c r="H87" s="16" t="s">
        <v>15</v>
      </c>
      <c r="I87" s="16" t="s">
        <v>15</v>
      </c>
      <c r="J87" s="16" t="s">
        <v>15</v>
      </c>
      <c r="K87" s="16" t="s">
        <v>15</v>
      </c>
      <c r="L87" s="16" t="s">
        <v>15</v>
      </c>
      <c r="M87" s="16" t="s">
        <v>15</v>
      </c>
      <c r="N87" s="1" t="s">
        <v>93</v>
      </c>
    </row>
    <row r="88" customFormat="false" ht="15" hidden="false" customHeight="true" outlineLevel="0" collapsed="false">
      <c r="A88" s="17" t="str">
        <f aca="false">IFERROR(VLOOKUP(B88,'Product Master'!$A:$C,3,0),"")</f>
        <v>JOHN NAGLE</v>
      </c>
      <c r="B88" s="18" t="s">
        <v>145</v>
      </c>
      <c r="C88" s="19" t="str">
        <f aca="false">IFERROR(VLOOKUP(B88,'Product Master'!$A:$B,2,0),"")</f>
        <v>SALMON, ATLANTIC FILET D-CUT 10-12LB FARMED</v>
      </c>
      <c r="D88" s="20" t="str">
        <f aca="false">IFERROR(VLOOKUP(B88,'Product Master'!$A:$E,5,0),"")</f>
        <v>lb</v>
      </c>
      <c r="E88" s="49" t="str">
        <f aca="false">IFERROR(VLOOKUP(B88,'Product Master'!$A:$D,4,0),"")</f>
        <v>Proteins - Seafood</v>
      </c>
      <c r="F88" s="21"/>
      <c r="G88" s="22" t="s">
        <v>15</v>
      </c>
      <c r="H88" s="22" t="s">
        <v>15</v>
      </c>
      <c r="I88" s="22" t="s">
        <v>15</v>
      </c>
      <c r="J88" s="22" t="s">
        <v>15</v>
      </c>
      <c r="K88" s="22" t="s">
        <v>15</v>
      </c>
      <c r="L88" s="22" t="s">
        <v>15</v>
      </c>
      <c r="M88" s="22" t="s">
        <v>15</v>
      </c>
      <c r="N88" s="1" t="s">
        <v>48</v>
      </c>
    </row>
    <row r="89" customFormat="false" ht="15" hidden="false" customHeight="true" outlineLevel="0" collapsed="false">
      <c r="A89" s="10" t="str">
        <f aca="false">IFERROR(VLOOKUP(B89,'Product Master'!$A:$C,3,0),"")</f>
        <v>JOHN NAGLE</v>
      </c>
      <c r="B89" s="11" t="s">
        <v>146</v>
      </c>
      <c r="C89" s="12" t="str">
        <f aca="false">IFERROR(VLOOKUP(B89,'Product Master'!$A:$B,2,0),"")</f>
        <v>SHRIMP, DIAMOND BLUE 16/20 P&amp;D TAIL-ON WILD FZ PACIFIC [MEXI</v>
      </c>
      <c r="D89" s="13" t="str">
        <f aca="false">IFERROR(VLOOKUP(B89,'Product Master'!$A:$E,5,0),"")</f>
        <v>lb</v>
      </c>
      <c r="E89" s="49" t="str">
        <f aca="false">IFERROR(VLOOKUP(B89,'Product Master'!$A:$D,4,0),"")</f>
        <v>Proteins - Seafood</v>
      </c>
      <c r="F89" s="15"/>
      <c r="G89" s="16" t="s">
        <v>15</v>
      </c>
      <c r="H89" s="16" t="s">
        <v>15</v>
      </c>
      <c r="I89" s="16" t="s">
        <v>15</v>
      </c>
      <c r="J89" s="16" t="s">
        <v>15</v>
      </c>
      <c r="K89" s="16" t="s">
        <v>15</v>
      </c>
      <c r="L89" s="16" t="s">
        <v>15</v>
      </c>
      <c r="M89" s="16" t="s">
        <v>15</v>
      </c>
      <c r="N89" s="1" t="s">
        <v>147</v>
      </c>
    </row>
    <row r="90" customFormat="false" ht="19.5" hidden="false" customHeight="true" outlineLevel="0" collapsed="false">
      <c r="A90" s="53" t="s">
        <v>148</v>
      </c>
      <c r="B90" s="53"/>
      <c r="C90" s="54" t="s">
        <v>149</v>
      </c>
      <c r="D90" s="54"/>
      <c r="E90" s="54"/>
      <c r="F90" s="55" t="s">
        <v>10</v>
      </c>
      <c r="G90" s="55"/>
      <c r="H90" s="55"/>
      <c r="I90" s="55"/>
      <c r="J90" s="55"/>
      <c r="K90" s="55"/>
      <c r="L90" s="55"/>
      <c r="M90" s="55"/>
      <c r="N90" s="1" t="s">
        <v>11</v>
      </c>
    </row>
    <row r="91" customFormat="false" ht="12.75" hidden="false" customHeight="true" outlineLevel="0" collapsed="false">
      <c r="A91" s="9" t="s">
        <v>12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" t="s">
        <v>13</v>
      </c>
    </row>
    <row r="92" customFormat="false" ht="15" hidden="false" customHeight="true" outlineLevel="0" collapsed="false">
      <c r="A92" s="10" t="str">
        <f aca="false">IFERROR(VLOOKUP(B92,'Product Master'!$A:$C,3,0),"")</f>
        <v>URBANI TRUFFLE</v>
      </c>
      <c r="B92" s="11" t="s">
        <v>150</v>
      </c>
      <c r="C92" s="12" t="str">
        <f aca="false">IFERROR(VLOOKUP(B92,'Product Master'!$A:$B,2,0),"")</f>
        <v>BLACK TRUFFLE CARPACCIO, SHAVED TRUFFLES 6.3 OZ (URBANI)</v>
      </c>
      <c r="D92" s="13" t="str">
        <f aca="false">IFERROR(VLOOKUP(B92,'Product Master'!$A:$E,5,0),"")</f>
        <v>ea</v>
      </c>
      <c r="E92" s="14" t="str">
        <f aca="false">IFERROR(VLOOKUP(B92,'Product Master'!$A:$D,4,0),"")</f>
        <v>Dry Goods &amp; Pantry</v>
      </c>
      <c r="F92" s="15"/>
      <c r="G92" s="16" t="s">
        <v>15</v>
      </c>
      <c r="H92" s="16" t="s">
        <v>15</v>
      </c>
      <c r="I92" s="16" t="s">
        <v>15</v>
      </c>
      <c r="J92" s="16" t="s">
        <v>15</v>
      </c>
      <c r="K92" s="16" t="s">
        <v>15</v>
      </c>
      <c r="L92" s="16" t="s">
        <v>15</v>
      </c>
      <c r="M92" s="16" t="s">
        <v>15</v>
      </c>
      <c r="N92" s="1" t="s">
        <v>54</v>
      </c>
    </row>
    <row r="93" customFormat="false" ht="19.5" hidden="false" customHeight="true" outlineLevel="0" collapsed="false">
      <c r="A93" s="45" t="s">
        <v>151</v>
      </c>
      <c r="B93" s="45"/>
      <c r="C93" s="46"/>
      <c r="D93" s="46"/>
      <c r="E93" s="46"/>
      <c r="F93" s="47" t="s">
        <v>10</v>
      </c>
      <c r="G93" s="47"/>
      <c r="H93" s="47"/>
      <c r="I93" s="47"/>
      <c r="J93" s="47"/>
      <c r="K93" s="47"/>
      <c r="L93" s="47"/>
      <c r="M93" s="47"/>
      <c r="N93" s="1" t="s">
        <v>11</v>
      </c>
    </row>
    <row r="94" customFormat="false" ht="12.75" hidden="false" customHeight="true" outlineLevel="0" collapsed="false">
      <c r="A94" s="48" t="s">
        <v>138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1" t="s">
        <v>13</v>
      </c>
    </row>
    <row r="95" customFormat="false" ht="15" hidden="false" customHeight="true" outlineLevel="0" collapsed="false">
      <c r="A95" s="10" t="str">
        <f aca="false">IFERROR(VLOOKUP(B95,'Product Master'!$A:$C,3,0),"")</f>
        <v>CATSMO</v>
      </c>
      <c r="B95" s="11" t="s">
        <v>152</v>
      </c>
      <c r="C95" s="12" t="str">
        <f aca="false">IFERROR(VLOOKUP(B95,'Product Master'!$A:$B,2,0),"")</f>
        <v>BOTTARGA, GRATED MUGGINE (GRAY MULLET) G. MEXICO 2OZ RTL [DE</v>
      </c>
      <c r="D95" s="13" t="str">
        <f aca="false">IFERROR(VLOOKUP(B95,'Product Master'!$A:$E,5,0),"")</f>
        <v>ea</v>
      </c>
      <c r="E95" s="49" t="str">
        <f aca="false">IFERROR(VLOOKUP(B95,'Product Master'!$A:$D,4,0),"")</f>
        <v>Proteins - Seafood</v>
      </c>
      <c r="F95" s="15"/>
      <c r="G95" s="16" t="s">
        <v>15</v>
      </c>
      <c r="H95" s="16" t="s">
        <v>15</v>
      </c>
      <c r="I95" s="16" t="s">
        <v>15</v>
      </c>
      <c r="J95" s="16" t="s">
        <v>15</v>
      </c>
      <c r="K95" s="16" t="s">
        <v>15</v>
      </c>
      <c r="L95" s="16" t="s">
        <v>15</v>
      </c>
      <c r="M95" s="16" t="s">
        <v>15</v>
      </c>
      <c r="N95" s="1" t="s">
        <v>153</v>
      </c>
    </row>
    <row r="96" customFormat="false" ht="19.5" hidden="false" customHeight="true" outlineLevel="0" collapsed="false">
      <c r="A96" s="6" t="s">
        <v>154</v>
      </c>
      <c r="B96" s="6"/>
      <c r="C96" s="7" t="s">
        <v>155</v>
      </c>
      <c r="D96" s="7"/>
      <c r="E96" s="7"/>
      <c r="F96" s="8" t="s">
        <v>10</v>
      </c>
      <c r="G96" s="8"/>
      <c r="H96" s="8"/>
      <c r="I96" s="8"/>
      <c r="J96" s="8"/>
      <c r="K96" s="8"/>
      <c r="L96" s="8"/>
      <c r="M96" s="8"/>
      <c r="N96" s="1" t="s">
        <v>11</v>
      </c>
    </row>
    <row r="97" customFormat="false" ht="12.75" hidden="false" customHeight="true" outlineLevel="0" collapsed="false">
      <c r="A97" s="32" t="s">
        <v>101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1" t="s">
        <v>13</v>
      </c>
    </row>
    <row r="98" customFormat="false" ht="15" hidden="false" customHeight="true" outlineLevel="0" collapsed="false">
      <c r="A98" s="10" t="str">
        <f aca="false">IFERROR(VLOOKUP(B98,'Product Master'!$A:$C,3,0),"")</f>
        <v>GOURMET FOODS INT</v>
      </c>
      <c r="B98" s="11" t="s">
        <v>156</v>
      </c>
      <c r="C98" s="12" t="str">
        <f aca="false">IFERROR(VLOOKUP(B98,'Product Master'!$A:$B,2,0),"")</f>
        <v>CACIO DE ROMA [BUONOTAVOLA]</v>
      </c>
      <c r="D98" s="13" t="str">
        <f aca="false">IFERROR(VLOOKUP(B98,'Product Master'!$A:$E,5,0),"")</f>
        <v>lb</v>
      </c>
      <c r="E98" s="33" t="str">
        <f aca="false">IFERROR(VLOOKUP(B98,'Product Master'!$A:$D,4,0),"")</f>
        <v>Dairy &amp; Eggs</v>
      </c>
      <c r="F98" s="15"/>
      <c r="G98" s="16" t="s">
        <v>15</v>
      </c>
      <c r="H98" s="16" t="s">
        <v>15</v>
      </c>
      <c r="I98" s="16" t="s">
        <v>15</v>
      </c>
      <c r="J98" s="16" t="s">
        <v>15</v>
      </c>
      <c r="K98" s="16" t="s">
        <v>15</v>
      </c>
      <c r="L98" s="16" t="s">
        <v>15</v>
      </c>
      <c r="M98" s="16" t="s">
        <v>15</v>
      </c>
      <c r="N98" s="1" t="s">
        <v>157</v>
      </c>
    </row>
    <row r="99" customFormat="false" ht="15" hidden="false" customHeight="true" outlineLevel="0" collapsed="false">
      <c r="A99" s="17" t="str">
        <f aca="false">IFERROR(VLOOKUP(B99,'Product Master'!$A:$C,3,0),"")</f>
        <v>GOURMET FOODS INT</v>
      </c>
      <c r="B99" s="18" t="s">
        <v>158</v>
      </c>
      <c r="C99" s="19" t="str">
        <f aca="false">IFERROR(VLOOKUP(B99,'Product Master'!$A:$B,2,0),"")</f>
        <v>PECORINO ROMANO [GRANAROLO]</v>
      </c>
      <c r="D99" s="20" t="str">
        <f aca="false">IFERROR(VLOOKUP(B99,'Product Master'!$A:$E,5,0),"")</f>
        <v>lb</v>
      </c>
      <c r="E99" s="33" t="str">
        <f aca="false">IFERROR(VLOOKUP(B99,'Product Master'!$A:$D,4,0),"")</f>
        <v>Dairy &amp; Eggs</v>
      </c>
      <c r="F99" s="21"/>
      <c r="G99" s="22" t="s">
        <v>15</v>
      </c>
      <c r="H99" s="22" t="s">
        <v>15</v>
      </c>
      <c r="I99" s="22" t="s">
        <v>15</v>
      </c>
      <c r="J99" s="22" t="s">
        <v>15</v>
      </c>
      <c r="K99" s="22" t="s">
        <v>15</v>
      </c>
      <c r="L99" s="22" t="s">
        <v>15</v>
      </c>
      <c r="M99" s="22" t="s">
        <v>15</v>
      </c>
      <c r="N99" s="1" t="s">
        <v>159</v>
      </c>
    </row>
    <row r="100" customFormat="false" ht="12.75" hidden="false" customHeight="true" outlineLevel="0" collapsed="false">
      <c r="A100" s="9" t="s">
        <v>12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" t="s">
        <v>13</v>
      </c>
    </row>
    <row r="101" customFormat="false" ht="15" hidden="false" customHeight="true" outlineLevel="0" collapsed="false">
      <c r="A101" s="10" t="str">
        <f aca="false">IFERROR(VLOOKUP(B101,'Product Master'!$A:$C,3,0),"")</f>
        <v>GOURMET FOODS INT</v>
      </c>
      <c r="B101" s="11" t="s">
        <v>160</v>
      </c>
      <c r="C101" s="12" t="str">
        <f aca="false">IFERROR(VLOOKUP(B101,'Product Master'!$A:$B,2,0),"")</f>
        <v>FLOUR, BREAD TYPE 1 50 LB [MOLINO GRASSI]</v>
      </c>
      <c r="D101" s="13" t="str">
        <f aca="false">IFERROR(VLOOKUP(B101,'Product Master'!$A:$E,5,0),"")</f>
        <v>ea</v>
      </c>
      <c r="E101" s="14" t="str">
        <f aca="false">IFERROR(VLOOKUP(B101,'Product Master'!$A:$D,4,0),"")</f>
        <v>Dry Goods &amp; Pantry</v>
      </c>
      <c r="F101" s="15"/>
      <c r="G101" s="16" t="s">
        <v>15</v>
      </c>
      <c r="H101" s="16" t="s">
        <v>15</v>
      </c>
      <c r="I101" s="16" t="s">
        <v>15</v>
      </c>
      <c r="J101" s="16" t="s">
        <v>15</v>
      </c>
      <c r="K101" s="16" t="s">
        <v>15</v>
      </c>
      <c r="L101" s="16" t="s">
        <v>15</v>
      </c>
      <c r="M101" s="16" t="s">
        <v>15</v>
      </c>
      <c r="N101" s="1" t="s">
        <v>161</v>
      </c>
    </row>
    <row r="102" customFormat="false" ht="15" hidden="false" customHeight="true" outlineLevel="0" collapsed="false">
      <c r="A102" s="17" t="str">
        <f aca="false">IFERROR(VLOOKUP(B102,'Product Master'!$A:$C,3,0),"")</f>
        <v>GOURMET FOODS INT</v>
      </c>
      <c r="B102" s="18" t="s">
        <v>162</v>
      </c>
      <c r="C102" s="19" t="str">
        <f aca="false">IFERROR(VLOOKUP(B102,'Product Master'!$A:$B,2,0),"")</f>
        <v>FLOUR, INTEGRALE WHOLE WHEAT FINE</v>
      </c>
      <c r="D102" s="20" t="str">
        <f aca="false">IFERROR(VLOOKUP(B102,'Product Master'!$A:$E,5,0),"")</f>
        <v>ea</v>
      </c>
      <c r="E102" s="14" t="str">
        <f aca="false">IFERROR(VLOOKUP(B102,'Product Master'!$A:$D,4,0),"")</f>
        <v>Dry Goods &amp; Pantry</v>
      </c>
      <c r="F102" s="21"/>
      <c r="G102" s="22" t="s">
        <v>15</v>
      </c>
      <c r="H102" s="22" t="s">
        <v>15</v>
      </c>
      <c r="I102" s="22" t="s">
        <v>15</v>
      </c>
      <c r="J102" s="22" t="s">
        <v>15</v>
      </c>
      <c r="K102" s="22" t="s">
        <v>15</v>
      </c>
      <c r="L102" s="22" t="s">
        <v>15</v>
      </c>
      <c r="M102" s="22" t="s">
        <v>15</v>
      </c>
      <c r="N102" s="1" t="s">
        <v>26</v>
      </c>
    </row>
    <row r="103" customFormat="false" ht="15" hidden="false" customHeight="true" outlineLevel="0" collapsed="false">
      <c r="A103" s="10" t="str">
        <f aca="false">IFERROR(VLOOKUP(B103,'Product Master'!$A:$C,3,0),"")</f>
        <v>GOURMET FOODS INT</v>
      </c>
      <c r="B103" s="11" t="s">
        <v>163</v>
      </c>
      <c r="C103" s="12" t="str">
        <f aca="false">IFERROR(VLOOKUP(B103,'Product Master'!$A:$B,2,0),"")</f>
        <v>FLOUR, RINFORZATO BREAD TYPE 00 55 LB [MOLINO GRASSI]</v>
      </c>
      <c r="D103" s="13" t="str">
        <f aca="false">IFERROR(VLOOKUP(B103,'Product Master'!$A:$E,5,0),"")</f>
        <v>ea</v>
      </c>
      <c r="E103" s="14" t="str">
        <f aca="false">IFERROR(VLOOKUP(B103,'Product Master'!$A:$D,4,0),"")</f>
        <v>Dry Goods &amp; Pantry</v>
      </c>
      <c r="F103" s="15"/>
      <c r="G103" s="16" t="s">
        <v>15</v>
      </c>
      <c r="H103" s="16" t="s">
        <v>15</v>
      </c>
      <c r="I103" s="16" t="s">
        <v>15</v>
      </c>
      <c r="J103" s="16" t="s">
        <v>15</v>
      </c>
      <c r="K103" s="16" t="s">
        <v>15</v>
      </c>
      <c r="L103" s="16" t="s">
        <v>15</v>
      </c>
      <c r="M103" s="16" t="s">
        <v>15</v>
      </c>
      <c r="N103" s="1" t="s">
        <v>164</v>
      </c>
    </row>
    <row r="104" customFormat="false" ht="15" hidden="false" customHeight="true" outlineLevel="0" collapsed="false">
      <c r="A104" s="17" t="str">
        <f aca="false">IFERROR(VLOOKUP(B104,'Product Master'!$A:$C,3,0),"")</f>
        <v>GOURMET FOODS INT</v>
      </c>
      <c r="B104" s="18" t="s">
        <v>165</v>
      </c>
      <c r="C104" s="19" t="str">
        <f aca="false">IFERROR(VLOOKUP(B104,'Product Master'!$A:$B,2,0),"")</f>
        <v>FLOUR, SEMOLINA [MOLINO GRASSI]</v>
      </c>
      <c r="D104" s="20" t="str">
        <f aca="false">IFERROR(VLOOKUP(B104,'Product Master'!$A:$E,5,0),"")</f>
        <v>ea</v>
      </c>
      <c r="E104" s="14" t="str">
        <f aca="false">IFERROR(VLOOKUP(B104,'Product Master'!$A:$D,4,0),"")</f>
        <v>Dry Goods &amp; Pantry</v>
      </c>
      <c r="F104" s="21"/>
      <c r="G104" s="22" t="s">
        <v>15</v>
      </c>
      <c r="H104" s="22" t="s">
        <v>15</v>
      </c>
      <c r="I104" s="22" t="s">
        <v>15</v>
      </c>
      <c r="J104" s="22" t="s">
        <v>15</v>
      </c>
      <c r="K104" s="22" t="s">
        <v>15</v>
      </c>
      <c r="L104" s="22" t="s">
        <v>15</v>
      </c>
      <c r="M104" s="22" t="s">
        <v>15</v>
      </c>
      <c r="N104" s="1" t="s">
        <v>166</v>
      </c>
    </row>
    <row r="105" customFormat="false" ht="15" hidden="false" customHeight="true" outlineLevel="0" collapsed="false">
      <c r="A105" s="10" t="str">
        <f aca="false">IFERROR(VLOOKUP(B105,'Product Master'!$A:$C,3,0),"")</f>
        <v>GOURMET FOODS INT</v>
      </c>
      <c r="B105" s="11" t="s">
        <v>167</v>
      </c>
      <c r="C105" s="12" t="str">
        <f aca="false">IFERROR(VLOOKUP(B105,'Product Master'!$A:$B,2,0),"")</f>
        <v>SALT, SEA FINE 55LB [BORROMETI]</v>
      </c>
      <c r="D105" s="13" t="str">
        <f aca="false">IFERROR(VLOOKUP(B105,'Product Master'!$A:$E,5,0),"")</f>
        <v>ea</v>
      </c>
      <c r="E105" s="14" t="str">
        <f aca="false">IFERROR(VLOOKUP(B105,'Product Master'!$A:$D,4,0),"")</f>
        <v>Dry Goods &amp; Pantry</v>
      </c>
      <c r="F105" s="15"/>
      <c r="G105" s="16" t="s">
        <v>15</v>
      </c>
      <c r="H105" s="16" t="s">
        <v>15</v>
      </c>
      <c r="I105" s="16" t="s">
        <v>15</v>
      </c>
      <c r="J105" s="16" t="s">
        <v>15</v>
      </c>
      <c r="K105" s="16" t="s">
        <v>15</v>
      </c>
      <c r="L105" s="16" t="s">
        <v>15</v>
      </c>
      <c r="M105" s="16" t="s">
        <v>15</v>
      </c>
      <c r="N105" s="1" t="s">
        <v>168</v>
      </c>
    </row>
    <row r="106" customFormat="false" ht="12.75" hidden="false" customHeight="true" outlineLevel="0" collapsed="false">
      <c r="A106" s="23" t="s">
        <v>19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1" t="s">
        <v>13</v>
      </c>
    </row>
    <row r="107" customFormat="false" ht="15" hidden="false" customHeight="true" outlineLevel="0" collapsed="false">
      <c r="A107" s="10" t="str">
        <f aca="false">IFERROR(VLOOKUP(B107,'Product Master'!$A:$C,3,0),"")</f>
        <v>GOURMET FOODS INT</v>
      </c>
      <c r="B107" s="11" t="s">
        <v>169</v>
      </c>
      <c r="C107" s="12" t="str">
        <f aca="false">IFERROR(VLOOKUP(B107,'Product Master'!$A:$B,2,0),"")</f>
        <v>MORTADELLA, NO PISTACHIO [ROVAGNATI]</v>
      </c>
      <c r="D107" s="13" t="str">
        <f aca="false">IFERROR(VLOOKUP(B107,'Product Master'!$A:$E,5,0),"")</f>
        <v>lb</v>
      </c>
      <c r="E107" s="24" t="str">
        <f aca="false">IFERROR(VLOOKUP(B107,'Product Master'!$A:$D,4,0),"")</f>
        <v>Other</v>
      </c>
      <c r="F107" s="15"/>
      <c r="G107" s="16" t="s">
        <v>15</v>
      </c>
      <c r="H107" s="16" t="s">
        <v>15</v>
      </c>
      <c r="I107" s="16" t="s">
        <v>15</v>
      </c>
      <c r="J107" s="16" t="s">
        <v>15</v>
      </c>
      <c r="K107" s="16" t="s">
        <v>15</v>
      </c>
      <c r="L107" s="16" t="s">
        <v>15</v>
      </c>
      <c r="M107" s="16" t="s">
        <v>15</v>
      </c>
      <c r="N107" s="1" t="s">
        <v>54</v>
      </c>
    </row>
    <row r="108" customFormat="false" ht="15" hidden="false" customHeight="true" outlineLevel="0" collapsed="false">
      <c r="A108" s="17" t="str">
        <f aca="false">IFERROR(VLOOKUP(B108,'Product Master'!$A:$C,3,0),"")</f>
        <v>GOURMET FOODS INT</v>
      </c>
      <c r="B108" s="18" t="s">
        <v>170</v>
      </c>
      <c r="C108" s="19" t="str">
        <f aca="false">IFERROR(VLOOKUP(B108,'Product Master'!$A:$B,2,0),"")</f>
        <v>PROSCIUTTO, 14 MONTH [FERRARINI]</v>
      </c>
      <c r="D108" s="20" t="str">
        <f aca="false">IFERROR(VLOOKUP(B108,'Product Master'!$A:$E,5,0),"")</f>
        <v>lb</v>
      </c>
      <c r="E108" s="24" t="str">
        <f aca="false">IFERROR(VLOOKUP(B108,'Product Master'!$A:$D,4,0),"")</f>
        <v>Other</v>
      </c>
      <c r="F108" s="21"/>
      <c r="G108" s="22" t="s">
        <v>15</v>
      </c>
      <c r="H108" s="22" t="s">
        <v>15</v>
      </c>
      <c r="I108" s="22" t="s">
        <v>15</v>
      </c>
      <c r="J108" s="22" t="s">
        <v>15</v>
      </c>
      <c r="K108" s="22" t="s">
        <v>15</v>
      </c>
      <c r="L108" s="22" t="s">
        <v>15</v>
      </c>
      <c r="M108" s="22" t="s">
        <v>15</v>
      </c>
      <c r="N108" s="1" t="s">
        <v>171</v>
      </c>
    </row>
    <row r="109" customFormat="false" ht="15" hidden="false" customHeight="true" outlineLevel="0" collapsed="false">
      <c r="A109" s="10" t="str">
        <f aca="false">IFERROR(VLOOKUP(B109,'Product Master'!$A:$C,3,0),"")</f>
        <v>GOURMET FOODS INT</v>
      </c>
      <c r="B109" s="11" t="s">
        <v>172</v>
      </c>
      <c r="C109" s="12" t="str">
        <f aca="false">IFERROR(VLOOKUP(B109,'Product Master'!$A:$B,2,0),"")</f>
        <v>SALAME NAPOLI [ROVAGNATI]</v>
      </c>
      <c r="D109" s="13" t="str">
        <f aca="false">IFERROR(VLOOKUP(B109,'Product Master'!$A:$E,5,0),"")</f>
        <v>lb</v>
      </c>
      <c r="E109" s="24" t="str">
        <f aca="false">IFERROR(VLOOKUP(B109,'Product Master'!$A:$D,4,0),"")</f>
        <v>Other</v>
      </c>
      <c r="F109" s="15"/>
      <c r="G109" s="16" t="s">
        <v>15</v>
      </c>
      <c r="H109" s="16" t="s">
        <v>15</v>
      </c>
      <c r="I109" s="16" t="s">
        <v>15</v>
      </c>
      <c r="J109" s="16" t="s">
        <v>15</v>
      </c>
      <c r="K109" s="16" t="s">
        <v>15</v>
      </c>
      <c r="L109" s="16" t="s">
        <v>15</v>
      </c>
      <c r="M109" s="16" t="s">
        <v>15</v>
      </c>
      <c r="N109" s="1" t="s">
        <v>54</v>
      </c>
    </row>
    <row r="110" customFormat="false" ht="19.5" hidden="false" customHeight="true" outlineLevel="0" collapsed="false">
      <c r="A110" s="29" t="s">
        <v>173</v>
      </c>
      <c r="B110" s="29"/>
      <c r="C110" s="30" t="s">
        <v>174</v>
      </c>
      <c r="D110" s="30"/>
      <c r="E110" s="30"/>
      <c r="F110" s="31" t="s">
        <v>10</v>
      </c>
      <c r="G110" s="31"/>
      <c r="H110" s="31"/>
      <c r="I110" s="31"/>
      <c r="J110" s="31"/>
      <c r="K110" s="31"/>
      <c r="L110" s="31"/>
      <c r="M110" s="31"/>
      <c r="N110" s="1" t="s">
        <v>11</v>
      </c>
    </row>
    <row r="111" customFormat="false" ht="12.75" hidden="false" customHeight="true" outlineLevel="0" collapsed="false">
      <c r="A111" s="32" t="s">
        <v>101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1" t="s">
        <v>13</v>
      </c>
    </row>
    <row r="112" customFormat="false" ht="15" hidden="false" customHeight="true" outlineLevel="0" collapsed="false">
      <c r="A112" s="10" t="str">
        <f aca="false">IFERROR(VLOOKUP(B112,'Product Master'!$A:$C,3,0),"")</f>
        <v>CHEFS WAREHOUSE</v>
      </c>
      <c r="B112" s="11" t="s">
        <v>175</v>
      </c>
      <c r="C112" s="12" t="str">
        <f aca="false">IFERROR(VLOOKUP(B112,'Product Master'!$A:$B,2,0),"")</f>
        <v>BURRATA 2 OZ BOH [CALABRO]</v>
      </c>
      <c r="D112" s="13" t="str">
        <f aca="false">IFERROR(VLOOKUP(B112,'Product Master'!$A:$E,5,0),"")</f>
        <v>ea</v>
      </c>
      <c r="E112" s="33" t="str">
        <f aca="false">IFERROR(VLOOKUP(B112,'Product Master'!$A:$D,4,0),"")</f>
        <v>Dairy &amp; Eggs</v>
      </c>
      <c r="F112" s="15"/>
      <c r="G112" s="16" t="s">
        <v>15</v>
      </c>
      <c r="H112" s="16" t="s">
        <v>15</v>
      </c>
      <c r="I112" s="16" t="s">
        <v>15</v>
      </c>
      <c r="J112" s="16" t="s">
        <v>15</v>
      </c>
      <c r="K112" s="16" t="s">
        <v>15</v>
      </c>
      <c r="L112" s="16" t="s">
        <v>15</v>
      </c>
      <c r="M112" s="16" t="s">
        <v>15</v>
      </c>
      <c r="N112" s="1" t="s">
        <v>54</v>
      </c>
    </row>
    <row r="113" customFormat="false" ht="15" hidden="false" customHeight="true" outlineLevel="0" collapsed="false">
      <c r="A113" s="17" t="str">
        <f aca="false">IFERROR(VLOOKUP(B113,'Product Master'!$A:$C,3,0),"")</f>
        <v>CHEFS WAREHOUSE</v>
      </c>
      <c r="B113" s="18" t="s">
        <v>176</v>
      </c>
      <c r="C113" s="19" t="str">
        <f aca="false">IFERROR(VLOOKUP(B113,'Product Master'!$A:$B,2,0),"")</f>
        <v>BUTTER UNSALTED 80%</v>
      </c>
      <c r="D113" s="20" t="str">
        <f aca="false">IFERROR(VLOOKUP(B113,'Product Master'!$A:$E,5,0),"")</f>
        <v>CA36</v>
      </c>
      <c r="E113" s="33" t="str">
        <f aca="false">IFERROR(VLOOKUP(B113,'Product Master'!$A:$D,4,0),"")</f>
        <v>Dairy &amp; Eggs</v>
      </c>
      <c r="F113" s="21"/>
      <c r="G113" s="22" t="s">
        <v>15</v>
      </c>
      <c r="H113" s="22" t="s">
        <v>15</v>
      </c>
      <c r="I113" s="22" t="s">
        <v>15</v>
      </c>
      <c r="J113" s="22" t="s">
        <v>15</v>
      </c>
      <c r="K113" s="22" t="s">
        <v>15</v>
      </c>
      <c r="L113" s="22" t="s">
        <v>15</v>
      </c>
      <c r="M113" s="22" t="s">
        <v>15</v>
      </c>
      <c r="N113" s="1" t="s">
        <v>177</v>
      </c>
    </row>
    <row r="114" customFormat="false" ht="15" hidden="false" customHeight="true" outlineLevel="0" collapsed="false">
      <c r="A114" s="10" t="str">
        <f aca="false">IFERROR(VLOOKUP(B114,'Product Master'!$A:$C,3,0),"")</f>
        <v>CHEFS WAREHOUSE</v>
      </c>
      <c r="B114" s="11" t="s">
        <v>178</v>
      </c>
      <c r="C114" s="12" t="str">
        <f aca="false">IFERROR(VLOOKUP(B114,'Product Master'!$A:$B,2,0),"")</f>
        <v>RICOTTA, FRESH HAND DIPPED (CALABRO)</v>
      </c>
      <c r="D114" s="13" t="str">
        <f aca="false">IFERROR(VLOOKUP(B114,'Product Master'!$A:$E,5,0),"")</f>
        <v>ea</v>
      </c>
      <c r="E114" s="33" t="str">
        <f aca="false">IFERROR(VLOOKUP(B114,'Product Master'!$A:$D,4,0),"")</f>
        <v>Dairy &amp; Eggs</v>
      </c>
      <c r="F114" s="15"/>
      <c r="G114" s="16" t="s">
        <v>15</v>
      </c>
      <c r="H114" s="16" t="s">
        <v>15</v>
      </c>
      <c r="I114" s="16" t="s">
        <v>15</v>
      </c>
      <c r="J114" s="16" t="s">
        <v>15</v>
      </c>
      <c r="K114" s="16" t="s">
        <v>15</v>
      </c>
      <c r="L114" s="16" t="s">
        <v>15</v>
      </c>
      <c r="M114" s="16" t="s">
        <v>15</v>
      </c>
      <c r="N114" s="1" t="s">
        <v>179</v>
      </c>
    </row>
    <row r="115" customFormat="false" ht="15" hidden="false" customHeight="true" outlineLevel="0" collapsed="false">
      <c r="A115" s="17" t="str">
        <f aca="false">IFERROR(VLOOKUP(B115,'Product Master'!$A:$C,3,0),"")</f>
        <v>CHEFS WAREHOUSE</v>
      </c>
      <c r="B115" s="18" t="s">
        <v>180</v>
      </c>
      <c r="C115" s="19" t="str">
        <f aca="false">IFERROR(VLOOKUP(B115,'Product Master'!$A:$B,2,0),"")</f>
        <v>RICOTTAFINA [CALABRO]</v>
      </c>
      <c r="D115" s="20" t="str">
        <f aca="false">IFERROR(VLOOKUP(B115,'Product Master'!$A:$E,5,0),"")</f>
        <v>lb</v>
      </c>
      <c r="E115" s="33" t="str">
        <f aca="false">IFERROR(VLOOKUP(B115,'Product Master'!$A:$D,4,0),"")</f>
        <v>Dairy &amp; Eggs</v>
      </c>
      <c r="F115" s="21"/>
      <c r="G115" s="22" t="s">
        <v>15</v>
      </c>
      <c r="H115" s="22" t="s">
        <v>15</v>
      </c>
      <c r="I115" s="22" t="s">
        <v>15</v>
      </c>
      <c r="J115" s="22" t="s">
        <v>15</v>
      </c>
      <c r="K115" s="22" t="s">
        <v>15</v>
      </c>
      <c r="L115" s="22" t="s">
        <v>15</v>
      </c>
      <c r="M115" s="22" t="s">
        <v>15</v>
      </c>
      <c r="N115" s="1" t="s">
        <v>62</v>
      </c>
    </row>
    <row r="116" customFormat="false" ht="12.75" hidden="false" customHeight="true" outlineLevel="0" collapsed="false">
      <c r="A116" s="9" t="s">
        <v>12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" t="s">
        <v>13</v>
      </c>
    </row>
    <row r="117" customFormat="false" ht="15" hidden="false" customHeight="true" outlineLevel="0" collapsed="false">
      <c r="A117" s="10" t="str">
        <f aca="false">IFERROR(VLOOKUP(B117,'Product Master'!$A:$C,3,0),"")</f>
        <v>CHEFS WAREHOUSE</v>
      </c>
      <c r="B117" s="11" t="s">
        <v>181</v>
      </c>
      <c r="C117" s="12" t="str">
        <f aca="false">IFERROR(VLOOKUP(B117,'Product Master'!$A:$B,2,0),"")</f>
        <v>CAPERS IN SALT 5 LB [BEL ARIA]</v>
      </c>
      <c r="D117" s="13" t="str">
        <f aca="false">IFERROR(VLOOKUP(B117,'Product Master'!$A:$E,5,0),"")</f>
        <v>ea</v>
      </c>
      <c r="E117" s="14" t="str">
        <f aca="false">IFERROR(VLOOKUP(B117,'Product Master'!$A:$D,4,0),"")</f>
        <v>Dry Goods &amp; Pantry</v>
      </c>
      <c r="F117" s="15"/>
      <c r="G117" s="16" t="s">
        <v>15</v>
      </c>
      <c r="H117" s="16" t="s">
        <v>15</v>
      </c>
      <c r="I117" s="16" t="s">
        <v>15</v>
      </c>
      <c r="J117" s="16" t="s">
        <v>15</v>
      </c>
      <c r="K117" s="16" t="s">
        <v>15</v>
      </c>
      <c r="L117" s="16" t="s">
        <v>15</v>
      </c>
      <c r="M117" s="16" t="s">
        <v>15</v>
      </c>
      <c r="N117" s="1" t="s">
        <v>182</v>
      </c>
    </row>
    <row r="118" customFormat="false" ht="15" hidden="false" customHeight="true" outlineLevel="0" collapsed="false">
      <c r="A118" s="17" t="str">
        <f aca="false">IFERROR(VLOOKUP(B118,'Product Master'!$A:$C,3,0),"")</f>
        <v>CHEFS WAREHOUSE</v>
      </c>
      <c r="B118" s="18" t="s">
        <v>183</v>
      </c>
      <c r="C118" s="19" t="str">
        <f aca="false">IFERROR(VLOOKUP(B118,'Product Master'!$A:$B,2,0),"")</f>
        <v>CORN STARCH</v>
      </c>
      <c r="D118" s="20" t="str">
        <f aca="false">IFERROR(VLOOKUP(B118,'Product Master'!$A:$E,5,0),"")</f>
        <v>CA24</v>
      </c>
      <c r="E118" s="14" t="str">
        <f aca="false">IFERROR(VLOOKUP(B118,'Product Master'!$A:$D,4,0),"")</f>
        <v>Dry Goods &amp; Pantry</v>
      </c>
      <c r="F118" s="21"/>
      <c r="G118" s="22" t="s">
        <v>15</v>
      </c>
      <c r="H118" s="22" t="s">
        <v>15</v>
      </c>
      <c r="I118" s="22" t="s">
        <v>15</v>
      </c>
      <c r="J118" s="22" t="s">
        <v>15</v>
      </c>
      <c r="K118" s="22" t="s">
        <v>15</v>
      </c>
      <c r="L118" s="22" t="s">
        <v>15</v>
      </c>
      <c r="M118" s="22" t="s">
        <v>15</v>
      </c>
      <c r="N118" s="1" t="s">
        <v>184</v>
      </c>
    </row>
    <row r="119" customFormat="false" ht="15" hidden="false" customHeight="true" outlineLevel="0" collapsed="false">
      <c r="A119" s="10" t="str">
        <f aca="false">IFERROR(VLOOKUP(B119,'Product Master'!$A:$C,3,0),"")</f>
        <v>CHEFS WAREHOUSE</v>
      </c>
      <c r="B119" s="11" t="s">
        <v>185</v>
      </c>
      <c r="C119" s="12" t="str">
        <f aca="false">IFERROR(VLOOKUP(B119,'Product Master'!$A:$B,2,0),"")</f>
        <v>FLOUR, ALL-PURPOSE</v>
      </c>
      <c r="D119" s="13" t="str">
        <f aca="false">IFERROR(VLOOKUP(B119,'Product Master'!$A:$E,5,0),"")</f>
        <v>CA2</v>
      </c>
      <c r="E119" s="14" t="str">
        <f aca="false">IFERROR(VLOOKUP(B119,'Product Master'!$A:$D,4,0),"")</f>
        <v>Dry Goods &amp; Pantry</v>
      </c>
      <c r="F119" s="15"/>
      <c r="G119" s="16" t="s">
        <v>15</v>
      </c>
      <c r="H119" s="16" t="s">
        <v>15</v>
      </c>
      <c r="I119" s="16" t="s">
        <v>15</v>
      </c>
      <c r="J119" s="16" t="s">
        <v>15</v>
      </c>
      <c r="K119" s="16" t="s">
        <v>15</v>
      </c>
      <c r="L119" s="16" t="s">
        <v>15</v>
      </c>
      <c r="M119" s="16" t="s">
        <v>15</v>
      </c>
      <c r="N119" s="1" t="s">
        <v>186</v>
      </c>
    </row>
    <row r="120" customFormat="false" ht="15" hidden="false" customHeight="true" outlineLevel="0" collapsed="false">
      <c r="A120" s="17" t="str">
        <f aca="false">IFERROR(VLOOKUP(B120,'Product Master'!$A:$C,3,0),"")</f>
        <v>CHEFS WAREHOUSE</v>
      </c>
      <c r="B120" s="18" t="s">
        <v>187</v>
      </c>
      <c r="C120" s="19" t="str">
        <f aca="false">IFERROR(VLOOKUP(B120,'Product Master'!$A:$B,2,0),"")</f>
        <v>FLOUR, WONDRA</v>
      </c>
      <c r="D120" s="20" t="str">
        <f aca="false">IFERROR(VLOOKUP(B120,'Product Master'!$A:$E,5,0),"")</f>
        <v>ea</v>
      </c>
      <c r="E120" s="14" t="str">
        <f aca="false">IFERROR(VLOOKUP(B120,'Product Master'!$A:$D,4,0),"")</f>
        <v>Dry Goods &amp; Pantry</v>
      </c>
      <c r="F120" s="21"/>
      <c r="G120" s="22" t="s">
        <v>15</v>
      </c>
      <c r="H120" s="22" t="s">
        <v>15</v>
      </c>
      <c r="I120" s="22" t="s">
        <v>15</v>
      </c>
      <c r="J120" s="22" t="s">
        <v>15</v>
      </c>
      <c r="K120" s="22" t="s">
        <v>15</v>
      </c>
      <c r="L120" s="22" t="s">
        <v>15</v>
      </c>
      <c r="M120" s="22" t="s">
        <v>15</v>
      </c>
      <c r="N120" s="1" t="s">
        <v>188</v>
      </c>
    </row>
    <row r="121" customFormat="false" ht="15" hidden="false" customHeight="true" outlineLevel="0" collapsed="false">
      <c r="A121" s="10" t="str">
        <f aca="false">IFERROR(VLOOKUP(B121,'Product Master'!$A:$C,3,0),"")</f>
        <v>CHEFS WAREHOUSE</v>
      </c>
      <c r="B121" s="11" t="s">
        <v>189</v>
      </c>
      <c r="C121" s="12" t="str">
        <f aca="false">IFERROR(VLOOKUP(B121,'Product Master'!$A:$B,2,0),"")</f>
        <v>HEAVY CREAM QUART 36% [BARTLETT]</v>
      </c>
      <c r="D121" s="13" t="str">
        <f aca="false">IFERROR(VLOOKUP(B121,'Product Master'!$A:$E,5,0),"")</f>
        <v>ea</v>
      </c>
      <c r="E121" s="14" t="str">
        <f aca="false">IFERROR(VLOOKUP(B121,'Product Master'!$A:$D,4,0),"")</f>
        <v>Dry Goods &amp; Pantry</v>
      </c>
      <c r="F121" s="15"/>
      <c r="G121" s="16" t="s">
        <v>15</v>
      </c>
      <c r="H121" s="16" t="s">
        <v>15</v>
      </c>
      <c r="I121" s="16" t="s">
        <v>15</v>
      </c>
      <c r="J121" s="16" t="s">
        <v>15</v>
      </c>
      <c r="K121" s="16" t="s">
        <v>15</v>
      </c>
      <c r="L121" s="16" t="s">
        <v>15</v>
      </c>
      <c r="M121" s="16" t="s">
        <v>15</v>
      </c>
      <c r="N121" s="1" t="s">
        <v>190</v>
      </c>
    </row>
    <row r="122" customFormat="false" ht="15" hidden="false" customHeight="true" outlineLevel="0" collapsed="false">
      <c r="A122" s="17" t="str">
        <f aca="false">IFERROR(VLOOKUP(B122,'Product Master'!$A:$C,3,0),"")</f>
        <v>CHEFS WAREHOUSE</v>
      </c>
      <c r="B122" s="18" t="s">
        <v>191</v>
      </c>
      <c r="C122" s="19" t="str">
        <f aca="false">IFERROR(VLOOKUP(B122,'Product Master'!$A:$B,2,0),"")</f>
        <v>MAYONNAISE EXTRA HEAVY 3.9 L</v>
      </c>
      <c r="D122" s="20" t="str">
        <f aca="false">IFERROR(VLOOKUP(B122,'Product Master'!$A:$E,5,0),"")</f>
        <v>CA4</v>
      </c>
      <c r="E122" s="14" t="str">
        <f aca="false">IFERROR(VLOOKUP(B122,'Product Master'!$A:$D,4,0),"")</f>
        <v>Dry Goods &amp; Pantry</v>
      </c>
      <c r="F122" s="21"/>
      <c r="G122" s="22" t="s">
        <v>15</v>
      </c>
      <c r="H122" s="22" t="s">
        <v>15</v>
      </c>
      <c r="I122" s="22" t="s">
        <v>15</v>
      </c>
      <c r="J122" s="22" t="s">
        <v>15</v>
      </c>
      <c r="K122" s="22" t="s">
        <v>15</v>
      </c>
      <c r="L122" s="22" t="s">
        <v>15</v>
      </c>
      <c r="M122" s="22" t="s">
        <v>15</v>
      </c>
      <c r="N122" s="1" t="s">
        <v>192</v>
      </c>
    </row>
    <row r="123" customFormat="false" ht="15" hidden="false" customHeight="true" outlineLevel="0" collapsed="false">
      <c r="A123" s="10" t="str">
        <f aca="false">IFERROR(VLOOKUP(B123,'Product Master'!$A:$C,3,0),"")</f>
        <v>CHEFS WAREHOUSE</v>
      </c>
      <c r="B123" s="11" t="s">
        <v>193</v>
      </c>
      <c r="C123" s="12" t="str">
        <f aca="false">IFERROR(VLOOKUP(B123,'Product Master'!$A:$B,2,0),"")</f>
        <v>MUSTARD SEED, WHOLE</v>
      </c>
      <c r="D123" s="13" t="str">
        <f aca="false">IFERROR(VLOOKUP(B123,'Product Master'!$A:$E,5,0),"")</f>
        <v>ea</v>
      </c>
      <c r="E123" s="14" t="str">
        <f aca="false">IFERROR(VLOOKUP(B123,'Product Master'!$A:$D,4,0),"")</f>
        <v>Dry Goods &amp; Pantry</v>
      </c>
      <c r="F123" s="15"/>
      <c r="G123" s="16" t="s">
        <v>15</v>
      </c>
      <c r="H123" s="16" t="s">
        <v>15</v>
      </c>
      <c r="I123" s="16" t="s">
        <v>15</v>
      </c>
      <c r="J123" s="16" t="s">
        <v>15</v>
      </c>
      <c r="K123" s="16" t="s">
        <v>15</v>
      </c>
      <c r="L123" s="16" t="s">
        <v>15</v>
      </c>
      <c r="M123" s="16" t="s">
        <v>15</v>
      </c>
      <c r="N123" s="1" t="s">
        <v>54</v>
      </c>
    </row>
    <row r="124" customFormat="false" ht="15" hidden="false" customHeight="true" outlineLevel="0" collapsed="false">
      <c r="A124" s="17" t="str">
        <f aca="false">IFERROR(VLOOKUP(B124,'Product Master'!$A:$C,3,0),"")</f>
        <v>CHEFS WAREHOUSE</v>
      </c>
      <c r="B124" s="18" t="s">
        <v>194</v>
      </c>
      <c r="C124" s="19" t="str">
        <f aca="false">IFERROR(VLOOKUP(B124,'Product Master'!$A:$B,2,0),"")</f>
        <v>MUSTARD, DIJON SMOOTH</v>
      </c>
      <c r="D124" s="20" t="str">
        <f aca="false">IFERROR(VLOOKUP(B124,'Product Master'!$A:$E,5,0),"")</f>
        <v>CA4</v>
      </c>
      <c r="E124" s="14" t="str">
        <f aca="false">IFERROR(VLOOKUP(B124,'Product Master'!$A:$D,4,0),"")</f>
        <v>Dry Goods &amp; Pantry</v>
      </c>
      <c r="F124" s="21"/>
      <c r="G124" s="22" t="s">
        <v>15</v>
      </c>
      <c r="H124" s="22" t="s">
        <v>15</v>
      </c>
      <c r="I124" s="22" t="s">
        <v>15</v>
      </c>
      <c r="J124" s="22" t="s">
        <v>15</v>
      </c>
      <c r="K124" s="22" t="s">
        <v>15</v>
      </c>
      <c r="L124" s="22" t="s">
        <v>15</v>
      </c>
      <c r="M124" s="22" t="s">
        <v>15</v>
      </c>
      <c r="N124" s="1" t="s">
        <v>192</v>
      </c>
    </row>
    <row r="125" customFormat="false" ht="15" hidden="false" customHeight="true" outlineLevel="0" collapsed="false">
      <c r="A125" s="10" t="str">
        <f aca="false">IFERROR(VLOOKUP(B125,'Product Master'!$A:$C,3,0),"")</f>
        <v>CHEFS WAREHOUSE</v>
      </c>
      <c r="B125" s="11" t="s">
        <v>195</v>
      </c>
      <c r="C125" s="12" t="str">
        <f aca="false">IFERROR(VLOOKUP(B125,'Product Master'!$A:$B,2,0),"")</f>
        <v>OIL, CANOLA BLEND 75/25 CANOLA OLIVE OIL</v>
      </c>
      <c r="D125" s="13" t="str">
        <f aca="false">IFERROR(VLOOKUP(B125,'Product Master'!$A:$E,5,0),"")</f>
        <v>CA6</v>
      </c>
      <c r="E125" s="14" t="str">
        <f aca="false">IFERROR(VLOOKUP(B125,'Product Master'!$A:$D,4,0),"")</f>
        <v>Dry Goods &amp; Pantry</v>
      </c>
      <c r="F125" s="15"/>
      <c r="G125" s="16" t="s">
        <v>15</v>
      </c>
      <c r="H125" s="16" t="s">
        <v>15</v>
      </c>
      <c r="I125" s="16" t="s">
        <v>15</v>
      </c>
      <c r="J125" s="16" t="s">
        <v>15</v>
      </c>
      <c r="K125" s="16" t="s">
        <v>15</v>
      </c>
      <c r="L125" s="16" t="s">
        <v>15</v>
      </c>
      <c r="M125" s="16" t="s">
        <v>15</v>
      </c>
      <c r="N125" s="1" t="s">
        <v>196</v>
      </c>
    </row>
    <row r="126" customFormat="false" ht="15" hidden="false" customHeight="true" outlineLevel="0" collapsed="false">
      <c r="A126" s="17" t="str">
        <f aca="false">IFERROR(VLOOKUP(B126,'Product Master'!$A:$C,3,0),"")</f>
        <v>CHEFS WAREHOUSE</v>
      </c>
      <c r="B126" s="18" t="s">
        <v>197</v>
      </c>
      <c r="C126" s="19" t="str">
        <f aca="false">IFERROR(VLOOKUP(B126,'Product Master'!$A:$B,2,0),"")</f>
        <v>PEPPER, BLACK GROUND 5 LB</v>
      </c>
      <c r="D126" s="20" t="str">
        <f aca="false">IFERROR(VLOOKUP(B126,'Product Master'!$A:$E,5,0),"")</f>
        <v>ea</v>
      </c>
      <c r="E126" s="14" t="str">
        <f aca="false">IFERROR(VLOOKUP(B126,'Product Master'!$A:$D,4,0),"")</f>
        <v>Dry Goods &amp; Pantry</v>
      </c>
      <c r="F126" s="21"/>
      <c r="G126" s="22" t="s">
        <v>15</v>
      </c>
      <c r="H126" s="22" t="s">
        <v>15</v>
      </c>
      <c r="I126" s="22" t="s">
        <v>15</v>
      </c>
      <c r="J126" s="22" t="s">
        <v>15</v>
      </c>
      <c r="K126" s="22" t="s">
        <v>15</v>
      </c>
      <c r="L126" s="22" t="s">
        <v>15</v>
      </c>
      <c r="M126" s="22" t="s">
        <v>15</v>
      </c>
      <c r="N126" s="1" t="s">
        <v>198</v>
      </c>
    </row>
    <row r="127" customFormat="false" ht="15" hidden="false" customHeight="true" outlineLevel="0" collapsed="false">
      <c r="A127" s="10" t="str">
        <f aca="false">IFERROR(VLOOKUP(B127,'Product Master'!$A:$C,3,0),"")</f>
        <v>CHEFS WAREHOUSE</v>
      </c>
      <c r="B127" s="11" t="s">
        <v>199</v>
      </c>
      <c r="C127" s="12" t="str">
        <f aca="false">IFERROR(VLOOKUP(B127,'Product Master'!$A:$B,2,0),"")</f>
        <v>PEPPER, CAYENNE</v>
      </c>
      <c r="D127" s="13" t="str">
        <f aca="false">IFERROR(VLOOKUP(B127,'Product Master'!$A:$E,5,0),"")</f>
        <v>ea</v>
      </c>
      <c r="E127" s="14" t="str">
        <f aca="false">IFERROR(VLOOKUP(B127,'Product Master'!$A:$D,4,0),"")</f>
        <v>Dry Goods &amp; Pantry</v>
      </c>
      <c r="F127" s="15"/>
      <c r="G127" s="16" t="s">
        <v>15</v>
      </c>
      <c r="H127" s="16" t="s">
        <v>15</v>
      </c>
      <c r="I127" s="16" t="s">
        <v>15</v>
      </c>
      <c r="J127" s="16" t="s">
        <v>15</v>
      </c>
      <c r="K127" s="16" t="s">
        <v>15</v>
      </c>
      <c r="L127" s="16" t="s">
        <v>15</v>
      </c>
      <c r="M127" s="16" t="s">
        <v>15</v>
      </c>
      <c r="N127" s="1" t="s">
        <v>188</v>
      </c>
    </row>
    <row r="128" customFormat="false" ht="15" hidden="false" customHeight="true" outlineLevel="0" collapsed="false">
      <c r="A128" s="17" t="str">
        <f aca="false">IFERROR(VLOOKUP(B128,'Product Master'!$A:$C,3,0),"")</f>
        <v>CHEFS WAREHOUSE</v>
      </c>
      <c r="B128" s="18" t="s">
        <v>200</v>
      </c>
      <c r="C128" s="19" t="str">
        <f aca="false">IFERROR(VLOOKUP(B128,'Product Master'!$A:$B,2,0),"")</f>
        <v>RICE FLOUR FINE WHITE 50LB [COMET]</v>
      </c>
      <c r="D128" s="20" t="str">
        <f aca="false">IFERROR(VLOOKUP(B128,'Product Master'!$A:$E,5,0),"")</f>
        <v>ea</v>
      </c>
      <c r="E128" s="14" t="str">
        <f aca="false">IFERROR(VLOOKUP(B128,'Product Master'!$A:$D,4,0),"")</f>
        <v>Dry Goods &amp; Pantry</v>
      </c>
      <c r="F128" s="21"/>
      <c r="G128" s="22" t="s">
        <v>15</v>
      </c>
      <c r="H128" s="22" t="s">
        <v>15</v>
      </c>
      <c r="I128" s="22" t="s">
        <v>15</v>
      </c>
      <c r="J128" s="22" t="s">
        <v>15</v>
      </c>
      <c r="K128" s="22" t="s">
        <v>15</v>
      </c>
      <c r="L128" s="22" t="s">
        <v>15</v>
      </c>
      <c r="M128" s="22" t="s">
        <v>15</v>
      </c>
      <c r="N128" s="1" t="s">
        <v>76</v>
      </c>
    </row>
    <row r="129" customFormat="false" ht="15" hidden="false" customHeight="true" outlineLevel="0" collapsed="false">
      <c r="A129" s="10" t="str">
        <f aca="false">IFERROR(VLOOKUP(B129,'Product Master'!$A:$C,3,0),"")</f>
        <v>CHEFS WAREHOUSE</v>
      </c>
      <c r="B129" s="11" t="s">
        <v>201</v>
      </c>
      <c r="C129" s="12" t="str">
        <f aca="false">IFERROR(VLOOKUP(B129,'Product Master'!$A:$B,2,0),"")</f>
        <v>SALT, SEA (MALDON)</v>
      </c>
      <c r="D129" s="13" t="str">
        <f aca="false">IFERROR(VLOOKUP(B129,'Product Master'!$A:$E,5,0),"")</f>
        <v>ea</v>
      </c>
      <c r="E129" s="14" t="str">
        <f aca="false">IFERROR(VLOOKUP(B129,'Product Master'!$A:$D,4,0),"")</f>
        <v>Dry Goods &amp; Pantry</v>
      </c>
      <c r="F129" s="15"/>
      <c r="G129" s="16" t="s">
        <v>15</v>
      </c>
      <c r="H129" s="16" t="s">
        <v>15</v>
      </c>
      <c r="I129" s="16" t="s">
        <v>15</v>
      </c>
      <c r="J129" s="16" t="s">
        <v>15</v>
      </c>
      <c r="K129" s="16" t="s">
        <v>15</v>
      </c>
      <c r="L129" s="16" t="s">
        <v>15</v>
      </c>
      <c r="M129" s="16" t="s">
        <v>15</v>
      </c>
      <c r="N129" s="1" t="s">
        <v>202</v>
      </c>
    </row>
    <row r="130" customFormat="false" ht="15" hidden="false" customHeight="true" outlineLevel="0" collapsed="false">
      <c r="A130" s="17" t="str">
        <f aca="false">IFERROR(VLOOKUP(B130,'Product Master'!$A:$C,3,0),"")</f>
        <v>CHEFS WAREHOUSE</v>
      </c>
      <c r="B130" s="18" t="s">
        <v>203</v>
      </c>
      <c r="C130" s="19" t="str">
        <f aca="false">IFERROR(VLOOKUP(B130,'Product Master'!$A:$B,2,0),"")</f>
        <v>WHITE CONDIMENT 5 L BOH</v>
      </c>
      <c r="D130" s="20" t="str">
        <f aca="false">IFERROR(VLOOKUP(B130,'Product Master'!$A:$E,5,0),"")</f>
        <v>ea</v>
      </c>
      <c r="E130" s="14" t="str">
        <f aca="false">IFERROR(VLOOKUP(B130,'Product Master'!$A:$D,4,0),"")</f>
        <v>Dry Goods &amp; Pantry</v>
      </c>
      <c r="F130" s="21"/>
      <c r="G130" s="22" t="s">
        <v>15</v>
      </c>
      <c r="H130" s="22" t="s">
        <v>15</v>
      </c>
      <c r="I130" s="22" t="s">
        <v>15</v>
      </c>
      <c r="J130" s="22" t="s">
        <v>15</v>
      </c>
      <c r="K130" s="22" t="s">
        <v>15</v>
      </c>
      <c r="L130" s="22" t="s">
        <v>15</v>
      </c>
      <c r="M130" s="22" t="s">
        <v>15</v>
      </c>
      <c r="N130" s="1" t="s">
        <v>204</v>
      </c>
    </row>
    <row r="131" customFormat="false" ht="15" hidden="false" customHeight="true" outlineLevel="0" collapsed="false">
      <c r="A131" s="10" t="str">
        <f aca="false">IFERROR(VLOOKUP(B131,'Product Master'!$A:$C,3,0),"")</f>
        <v>CHEFS WAREHOUSE</v>
      </c>
      <c r="B131" s="11" t="s">
        <v>205</v>
      </c>
      <c r="C131" s="12" t="str">
        <f aca="false">IFERROR(VLOOKUP(B131,'Product Master'!$A:$B,2,0),"")</f>
        <v>YEAST FRESH</v>
      </c>
      <c r="D131" s="13" t="str">
        <f aca="false">IFERROR(VLOOKUP(B131,'Product Master'!$A:$E,5,0),"")</f>
        <v>ea</v>
      </c>
      <c r="E131" s="14" t="str">
        <f aca="false">IFERROR(VLOOKUP(B131,'Product Master'!$A:$D,4,0),"")</f>
        <v>Dry Goods &amp; Pantry</v>
      </c>
      <c r="F131" s="15"/>
      <c r="G131" s="16" t="s">
        <v>15</v>
      </c>
      <c r="H131" s="16" t="s">
        <v>15</v>
      </c>
      <c r="I131" s="16" t="s">
        <v>15</v>
      </c>
      <c r="J131" s="16" t="s">
        <v>15</v>
      </c>
      <c r="K131" s="16" t="s">
        <v>15</v>
      </c>
      <c r="L131" s="16" t="s">
        <v>15</v>
      </c>
      <c r="M131" s="16" t="s">
        <v>15</v>
      </c>
      <c r="N131" s="1" t="s">
        <v>206</v>
      </c>
    </row>
    <row r="132" customFormat="false" ht="12.75" hidden="false" customHeight="true" outlineLevel="0" collapsed="false">
      <c r="A132" s="23" t="s">
        <v>19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1" t="s">
        <v>13</v>
      </c>
    </row>
    <row r="133" customFormat="false" ht="15" hidden="false" customHeight="true" outlineLevel="0" collapsed="false">
      <c r="A133" s="10" t="str">
        <f aca="false">IFERROR(VLOOKUP(B133,'Product Master'!$A:$C,3,0),"")</f>
        <v>CHEFS WAREHOUSE</v>
      </c>
      <c r="B133" s="11" t="s">
        <v>207</v>
      </c>
      <c r="C133" s="12" t="str">
        <f aca="false">IFERROR(VLOOKUP(B133,'Product Master'!$A:$B,2,0),"")</f>
        <v>BREAD CRUMBS</v>
      </c>
      <c r="D133" s="13" t="str">
        <f aca="false">IFERROR(VLOOKUP(B133,'Product Master'!$A:$E,5,0),"")</f>
        <v>CA6</v>
      </c>
      <c r="E133" s="24" t="str">
        <f aca="false">IFERROR(VLOOKUP(B133,'Product Master'!$A:$D,4,0),"")</f>
        <v>Other</v>
      </c>
      <c r="F133" s="15"/>
      <c r="G133" s="16" t="s">
        <v>15</v>
      </c>
      <c r="H133" s="16" t="s">
        <v>15</v>
      </c>
      <c r="I133" s="16" t="s">
        <v>15</v>
      </c>
      <c r="J133" s="16" t="s">
        <v>15</v>
      </c>
      <c r="K133" s="16" t="s">
        <v>15</v>
      </c>
      <c r="L133" s="16" t="s">
        <v>15</v>
      </c>
      <c r="M133" s="16" t="s">
        <v>15</v>
      </c>
      <c r="N133" s="1" t="s">
        <v>208</v>
      </c>
    </row>
    <row r="134" customFormat="false" ht="15" hidden="false" customHeight="true" outlineLevel="0" collapsed="false">
      <c r="A134" s="17" t="str">
        <f aca="false">IFERROR(VLOOKUP(B134,'Product Master'!$A:$C,3,0),"")</f>
        <v>CHEFS WAREHOUSE</v>
      </c>
      <c r="B134" s="18" t="s">
        <v>209</v>
      </c>
      <c r="C134" s="19" t="str">
        <f aca="false">IFERROR(VLOOKUP(B134,'Product Master'!$A:$B,2,0),"")</f>
        <v>HONEY, CLOVER 5LB</v>
      </c>
      <c r="D134" s="20" t="str">
        <f aca="false">IFERROR(VLOOKUP(B134,'Product Master'!$A:$E,5,0),"")</f>
        <v>ea</v>
      </c>
      <c r="E134" s="24" t="str">
        <f aca="false">IFERROR(VLOOKUP(B134,'Product Master'!$A:$D,4,0),"")</f>
        <v>Other</v>
      </c>
      <c r="F134" s="21"/>
      <c r="G134" s="22" t="s">
        <v>15</v>
      </c>
      <c r="H134" s="22" t="s">
        <v>15</v>
      </c>
      <c r="I134" s="22" t="s">
        <v>15</v>
      </c>
      <c r="J134" s="22" t="s">
        <v>15</v>
      </c>
      <c r="K134" s="22" t="s">
        <v>15</v>
      </c>
      <c r="L134" s="22" t="s">
        <v>15</v>
      </c>
      <c r="M134" s="22" t="s">
        <v>15</v>
      </c>
      <c r="N134" s="1" t="s">
        <v>54</v>
      </c>
    </row>
    <row r="135" customFormat="false" ht="15" hidden="false" customHeight="true" outlineLevel="0" collapsed="false">
      <c r="A135" s="10" t="str">
        <f aca="false">IFERROR(VLOOKUP(B135,'Product Master'!$A:$C,3,0),"")</f>
        <v>CHEFS WAREHOUSE</v>
      </c>
      <c r="B135" s="11" t="s">
        <v>210</v>
      </c>
      <c r="C135" s="12" t="str">
        <f aca="false">IFERROR(VLOOKUP(B135,'Product Master'!$A:$B,2,0),"")</f>
        <v>LIQUID EGG YOLK 2 LB [PAPETTI]</v>
      </c>
      <c r="D135" s="13" t="str">
        <f aca="false">IFERROR(VLOOKUP(B135,'Product Master'!$A:$E,5,0),"")</f>
        <v>CA15</v>
      </c>
      <c r="E135" s="24" t="str">
        <f aca="false">IFERROR(VLOOKUP(B135,'Product Master'!$A:$D,4,0),"")</f>
        <v>Other</v>
      </c>
      <c r="F135" s="15"/>
      <c r="G135" s="16" t="s">
        <v>15</v>
      </c>
      <c r="H135" s="16" t="s">
        <v>15</v>
      </c>
      <c r="I135" s="16" t="s">
        <v>15</v>
      </c>
      <c r="J135" s="16" t="s">
        <v>15</v>
      </c>
      <c r="K135" s="16" t="s">
        <v>15</v>
      </c>
      <c r="L135" s="16" t="s">
        <v>15</v>
      </c>
      <c r="M135" s="16" t="s">
        <v>15</v>
      </c>
      <c r="N135" s="1" t="s">
        <v>211</v>
      </c>
    </row>
    <row r="136" customFormat="false" ht="15" hidden="false" customHeight="true" outlineLevel="0" collapsed="false">
      <c r="A136" s="17" t="str">
        <f aca="false">IFERROR(VLOOKUP(B136,'Product Master'!$A:$C,3,0),"")</f>
        <v>CHEFS WAREHOUSE</v>
      </c>
      <c r="B136" s="18" t="s">
        <v>212</v>
      </c>
      <c r="C136" s="19" t="str">
        <f aca="false">IFERROR(VLOOKUP(B136,'Product Master'!$A:$B,2,0),"")</f>
        <v>PEAS, FROZEN</v>
      </c>
      <c r="D136" s="20" t="str">
        <f aca="false">IFERROR(VLOOKUP(B136,'Product Master'!$A:$E,5,0),"")</f>
        <v>CA12</v>
      </c>
      <c r="E136" s="24" t="str">
        <f aca="false">IFERROR(VLOOKUP(B136,'Product Master'!$A:$D,4,0),"")</f>
        <v>Other</v>
      </c>
      <c r="F136" s="21"/>
      <c r="G136" s="22" t="s">
        <v>15</v>
      </c>
      <c r="H136" s="22" t="s">
        <v>15</v>
      </c>
      <c r="I136" s="22" t="s">
        <v>15</v>
      </c>
      <c r="J136" s="22" t="s">
        <v>15</v>
      </c>
      <c r="K136" s="22" t="s">
        <v>15</v>
      </c>
      <c r="L136" s="22" t="s">
        <v>15</v>
      </c>
      <c r="M136" s="22" t="s">
        <v>15</v>
      </c>
      <c r="N136" s="1" t="s">
        <v>213</v>
      </c>
    </row>
    <row r="137" customFormat="false" ht="15" hidden="false" customHeight="true" outlineLevel="0" collapsed="false">
      <c r="A137" s="10" t="str">
        <f aca="false">IFERROR(VLOOKUP(B137,'Product Master'!$A:$C,3,0),"")</f>
        <v>CHEFS WAREHOUSE</v>
      </c>
      <c r="B137" s="11" t="s">
        <v>214</v>
      </c>
      <c r="C137" s="12" t="str">
        <f aca="false">IFERROR(VLOOKUP(B137,'Product Master'!$A:$B,2,0),"")</f>
        <v>SUGAR, EXTRA FINE GRANULATED</v>
      </c>
      <c r="D137" s="13" t="str">
        <f aca="false">IFERROR(VLOOKUP(B137,'Product Master'!$A:$E,5,0),"")</f>
        <v>ea</v>
      </c>
      <c r="E137" s="24" t="str">
        <f aca="false">IFERROR(VLOOKUP(B137,'Product Master'!$A:$D,4,0),"")</f>
        <v>Other</v>
      </c>
      <c r="F137" s="15"/>
      <c r="G137" s="16" t="s">
        <v>15</v>
      </c>
      <c r="H137" s="16" t="s">
        <v>15</v>
      </c>
      <c r="I137" s="16" t="s">
        <v>15</v>
      </c>
      <c r="J137" s="16" t="s">
        <v>15</v>
      </c>
      <c r="K137" s="16" t="s">
        <v>15</v>
      </c>
      <c r="L137" s="16" t="s">
        <v>15</v>
      </c>
      <c r="M137" s="16" t="s">
        <v>15</v>
      </c>
      <c r="N137" s="1" t="s">
        <v>215</v>
      </c>
    </row>
    <row r="138" customFormat="false" ht="15" hidden="false" customHeight="true" outlineLevel="0" collapsed="false">
      <c r="A138" s="17" t="str">
        <f aca="false">IFERROR(VLOOKUP(B138,'Product Master'!$A:$C,3,0),"")</f>
        <v>CHEFS WAREHOUSE</v>
      </c>
      <c r="B138" s="18" t="s">
        <v>216</v>
      </c>
      <c r="C138" s="19" t="str">
        <f aca="false">IFERROR(VLOOKUP(B138,'Product Master'!$A:$B,2,0),"")</f>
        <v>TREBBIANO D'ABRUZZO, DONNA GIULIANA 1.5L</v>
      </c>
      <c r="D138" s="20" t="str">
        <f aca="false">IFERROR(VLOOKUP(B138,'Product Master'!$A:$E,5,0),"")</f>
        <v>ea</v>
      </c>
      <c r="E138" s="24" t="str">
        <f aca="false">IFERROR(VLOOKUP(B138,'Product Master'!$A:$D,4,0),"")</f>
        <v>Other</v>
      </c>
      <c r="F138" s="21"/>
      <c r="G138" s="22" t="s">
        <v>15</v>
      </c>
      <c r="H138" s="22" t="s">
        <v>15</v>
      </c>
      <c r="I138" s="22" t="s">
        <v>15</v>
      </c>
      <c r="J138" s="22" t="s">
        <v>15</v>
      </c>
      <c r="K138" s="22" t="s">
        <v>15</v>
      </c>
      <c r="L138" s="22" t="s">
        <v>15</v>
      </c>
      <c r="M138" s="22" t="s">
        <v>15</v>
      </c>
      <c r="N138" s="1" t="s">
        <v>217</v>
      </c>
    </row>
    <row r="139" customFormat="false" ht="12.75" hidden="false" customHeight="true" outlineLevel="0" collapsed="false">
      <c r="A139" s="25" t="s">
        <v>24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1" t="s">
        <v>13</v>
      </c>
    </row>
    <row r="140" customFormat="false" ht="15" hidden="false" customHeight="true" outlineLevel="0" collapsed="false">
      <c r="A140" s="10" t="str">
        <f aca="false">IFERROR(VLOOKUP(B140,'Product Master'!$A:$C,3,0),"")</f>
        <v>CHEFS WAREHOUSE</v>
      </c>
      <c r="B140" s="11" t="s">
        <v>218</v>
      </c>
      <c r="C140" s="12" t="str">
        <f aca="false">IFERROR(VLOOKUP(B140,'Product Master'!$A:$B,2,0),"")</f>
        <v>CAGE FREE GRADE "A" LARGE EGGS</v>
      </c>
      <c r="D140" s="13" t="str">
        <f aca="false">IFERROR(VLOOKUP(B140,'Product Master'!$A:$E,5,0),"")</f>
        <v>CA180</v>
      </c>
      <c r="E140" s="26" t="str">
        <f aca="false">IFERROR(VLOOKUP(B140,'Product Master'!$A:$D,4,0),"")</f>
        <v>Produce - Herbs</v>
      </c>
      <c r="F140" s="15"/>
      <c r="G140" s="16" t="s">
        <v>15</v>
      </c>
      <c r="H140" s="16" t="s">
        <v>15</v>
      </c>
      <c r="I140" s="16" t="s">
        <v>15</v>
      </c>
      <c r="J140" s="16" t="s">
        <v>15</v>
      </c>
      <c r="K140" s="16" t="s">
        <v>15</v>
      </c>
      <c r="L140" s="16" t="s">
        <v>15</v>
      </c>
      <c r="M140" s="16" t="s">
        <v>15</v>
      </c>
      <c r="N140" s="1" t="s">
        <v>219</v>
      </c>
    </row>
    <row r="141" customFormat="false" ht="15" hidden="false" customHeight="true" outlineLevel="0" collapsed="false">
      <c r="A141" s="17" t="str">
        <f aca="false">IFERROR(VLOOKUP(B141,'Product Master'!$A:$C,3,0),"")</f>
        <v>CHEFS WAREHOUSE</v>
      </c>
      <c r="B141" s="18" t="s">
        <v>220</v>
      </c>
      <c r="C141" s="19" t="str">
        <f aca="false">IFERROR(VLOOKUP(B141,'Product Master'!$A:$B,2,0),"")</f>
        <v>PASTURE RAISED LIQUID EGGS (VITAL FARMS)</v>
      </c>
      <c r="D141" s="20" t="str">
        <f aca="false">IFERROR(VLOOKUP(B141,'Product Master'!$A:$E,5,0),"")</f>
        <v>CA20</v>
      </c>
      <c r="E141" s="26" t="str">
        <f aca="false">IFERROR(VLOOKUP(B141,'Product Master'!$A:$D,4,0),"")</f>
        <v>Produce - Herbs</v>
      </c>
      <c r="F141" s="21"/>
      <c r="G141" s="22" t="s">
        <v>15</v>
      </c>
      <c r="H141" s="22" t="s">
        <v>15</v>
      </c>
      <c r="I141" s="22" t="s">
        <v>15</v>
      </c>
      <c r="J141" s="22" t="s">
        <v>15</v>
      </c>
      <c r="K141" s="22" t="s">
        <v>15</v>
      </c>
      <c r="L141" s="22" t="s">
        <v>15</v>
      </c>
      <c r="M141" s="22" t="s">
        <v>15</v>
      </c>
      <c r="N141" s="1" t="s">
        <v>221</v>
      </c>
    </row>
    <row r="142" customFormat="false" ht="12.75" hidden="false" customHeight="true" outlineLevel="0" collapsed="false">
      <c r="A142" s="27" t="s">
        <v>31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1" t="s">
        <v>13</v>
      </c>
    </row>
    <row r="143" customFormat="false" ht="15" hidden="false" customHeight="true" outlineLevel="0" collapsed="false">
      <c r="A143" s="10" t="str">
        <f aca="false">IFERROR(VLOOKUP(B143,'Product Master'!$A:$C,3,0),"")</f>
        <v>CHEFS WAREHOUSE</v>
      </c>
      <c r="B143" s="11" t="s">
        <v>222</v>
      </c>
      <c r="C143" s="12" t="str">
        <f aca="false">IFERROR(VLOOKUP(B143,'Product Master'!$A:$B,2,0),"")</f>
        <v>ALMONDS WHOLE NATURAL [CAPITOL FOOD COMPANY]</v>
      </c>
      <c r="D143" s="13" t="str">
        <f aca="false">IFERROR(VLOOKUP(B143,'Product Master'!$A:$E,5,0),"")</f>
        <v>lb</v>
      </c>
      <c r="E143" s="28" t="str">
        <f aca="false">IFERROR(VLOOKUP(B143,'Product Master'!$A:$D,4,0),"")</f>
        <v>Produce - Veg &amp; Fruit</v>
      </c>
      <c r="F143" s="15"/>
      <c r="G143" s="16" t="s">
        <v>15</v>
      </c>
      <c r="H143" s="16" t="s">
        <v>15</v>
      </c>
      <c r="I143" s="16" t="s">
        <v>15</v>
      </c>
      <c r="J143" s="16" t="s">
        <v>15</v>
      </c>
      <c r="K143" s="16" t="s">
        <v>15</v>
      </c>
      <c r="L143" s="16" t="s">
        <v>15</v>
      </c>
      <c r="M143" s="16" t="s">
        <v>15</v>
      </c>
      <c r="N143" s="1" t="s">
        <v>54</v>
      </c>
    </row>
    <row r="144" customFormat="false" ht="15" hidden="false" customHeight="true" outlineLevel="0" collapsed="false">
      <c r="A144" s="17" t="str">
        <f aca="false">IFERROR(VLOOKUP(B144,'Product Master'!$A:$C,3,0),"")</f>
        <v>CHEFS WAREHOUSE</v>
      </c>
      <c r="B144" s="18" t="s">
        <v>223</v>
      </c>
      <c r="C144" s="19" t="str">
        <f aca="false">IFERROR(VLOOKUP(B144,'Product Master'!$A:$B,2,0),"")</f>
        <v>APRICOT JUMBO TURKISH [CAPITOL FOOD COMPANY]</v>
      </c>
      <c r="D144" s="20" t="str">
        <f aca="false">IFERROR(VLOOKUP(B144,'Product Master'!$A:$E,5,0),"")</f>
        <v>lb</v>
      </c>
      <c r="E144" s="28" t="str">
        <f aca="false">IFERROR(VLOOKUP(B144,'Product Master'!$A:$D,4,0),"")</f>
        <v>Produce - Veg &amp; Fruit</v>
      </c>
      <c r="F144" s="21"/>
      <c r="G144" s="22" t="s">
        <v>15</v>
      </c>
      <c r="H144" s="22" t="s">
        <v>15</v>
      </c>
      <c r="I144" s="22" t="s">
        <v>15</v>
      </c>
      <c r="J144" s="22" t="s">
        <v>15</v>
      </c>
      <c r="K144" s="22" t="s">
        <v>15</v>
      </c>
      <c r="L144" s="22" t="s">
        <v>15</v>
      </c>
      <c r="M144" s="22" t="s">
        <v>15</v>
      </c>
      <c r="N144" s="1" t="s">
        <v>54</v>
      </c>
    </row>
    <row r="145" customFormat="false" ht="15" hidden="false" customHeight="true" outlineLevel="0" collapsed="false">
      <c r="A145" s="10" t="str">
        <f aca="false">IFERROR(VLOOKUP(B145,'Product Master'!$A:$C,3,0),"")</f>
        <v>CHEFS WAREHOUSE</v>
      </c>
      <c r="B145" s="11" t="s">
        <v>224</v>
      </c>
      <c r="C145" s="12" t="str">
        <f aca="false">IFERROR(VLOOKUP(B145,'Product Master'!$A:$B,2,0),"")</f>
        <v>CAPERS, NON PAREIL IN BRINE</v>
      </c>
      <c r="D145" s="13" t="str">
        <f aca="false">IFERROR(VLOOKUP(B145,'Product Master'!$A:$E,5,0),"")</f>
        <v>CA12</v>
      </c>
      <c r="E145" s="28" t="str">
        <f aca="false">IFERROR(VLOOKUP(B145,'Product Master'!$A:$D,4,0),"")</f>
        <v>Produce - Veg &amp; Fruit</v>
      </c>
      <c r="F145" s="15"/>
      <c r="G145" s="16" t="s">
        <v>15</v>
      </c>
      <c r="H145" s="16" t="s">
        <v>15</v>
      </c>
      <c r="I145" s="16" t="s">
        <v>15</v>
      </c>
      <c r="J145" s="16" t="s">
        <v>15</v>
      </c>
      <c r="K145" s="16" t="s">
        <v>15</v>
      </c>
      <c r="L145" s="16" t="s">
        <v>15</v>
      </c>
      <c r="M145" s="16" t="s">
        <v>15</v>
      </c>
      <c r="N145" s="1" t="s">
        <v>225</v>
      </c>
    </row>
    <row r="146" customFormat="false" ht="15" hidden="false" customHeight="true" outlineLevel="0" collapsed="false">
      <c r="A146" s="17" t="str">
        <f aca="false">IFERROR(VLOOKUP(B146,'Product Master'!$A:$C,3,0),"")</f>
        <v>CHEFS WAREHOUSE</v>
      </c>
      <c r="B146" s="18" t="s">
        <v>226</v>
      </c>
      <c r="C146" s="19" t="str">
        <f aca="false">IFERROR(VLOOKUP(B146,'Product Master'!$A:$B,2,0),"")</f>
        <v>PISTACHIO RAW NO SHELL [CAPITOL FOOD COMPANY]</v>
      </c>
      <c r="D146" s="20" t="str">
        <f aca="false">IFERROR(VLOOKUP(B146,'Product Master'!$A:$E,5,0),"")</f>
        <v>CA5</v>
      </c>
      <c r="E146" s="28" t="str">
        <f aca="false">IFERROR(VLOOKUP(B146,'Product Master'!$A:$D,4,0),"")</f>
        <v>Produce - Veg &amp; Fruit</v>
      </c>
      <c r="F146" s="21"/>
      <c r="G146" s="22" t="s">
        <v>15</v>
      </c>
      <c r="H146" s="22" t="s">
        <v>15</v>
      </c>
      <c r="I146" s="22" t="s">
        <v>15</v>
      </c>
      <c r="J146" s="22" t="s">
        <v>15</v>
      </c>
      <c r="K146" s="22" t="s">
        <v>15</v>
      </c>
      <c r="L146" s="22" t="s">
        <v>15</v>
      </c>
      <c r="M146" s="22" t="s">
        <v>15</v>
      </c>
      <c r="N146" s="1" t="s">
        <v>37</v>
      </c>
    </row>
    <row r="147" customFormat="false" ht="15" hidden="false" customHeight="true" outlineLevel="0" collapsed="false">
      <c r="A147" s="10" t="str">
        <f aca="false">IFERROR(VLOOKUP(B147,'Product Master'!$A:$C,3,0),"")</f>
        <v>CHEFS WAREHOUSE</v>
      </c>
      <c r="B147" s="11" t="s">
        <v>227</v>
      </c>
      <c r="C147" s="12" t="str">
        <f aca="false">IFERROR(VLOOKUP(B147,'Product Master'!$A:$B,2,0),"")</f>
        <v>WALNUT HALVES</v>
      </c>
      <c r="D147" s="13" t="str">
        <f aca="false">IFERROR(VLOOKUP(B147,'Product Master'!$A:$E,5,0),"")</f>
        <v>lb</v>
      </c>
      <c r="E147" s="28" t="str">
        <f aca="false">IFERROR(VLOOKUP(B147,'Product Master'!$A:$D,4,0),"")</f>
        <v>Produce - Veg &amp; Fruit</v>
      </c>
      <c r="F147" s="15"/>
      <c r="G147" s="16" t="s">
        <v>15</v>
      </c>
      <c r="H147" s="16" t="s">
        <v>15</v>
      </c>
      <c r="I147" s="16" t="s">
        <v>15</v>
      </c>
      <c r="J147" s="16" t="s">
        <v>15</v>
      </c>
      <c r="K147" s="16" t="s">
        <v>15</v>
      </c>
      <c r="L147" s="16" t="s">
        <v>15</v>
      </c>
      <c r="M147" s="16" t="s">
        <v>15</v>
      </c>
      <c r="N147" s="1" t="s">
        <v>54</v>
      </c>
    </row>
    <row r="148" customFormat="false" ht="12.75" hidden="false" customHeight="true" outlineLevel="0" collapsed="false">
      <c r="A148" s="37" t="s">
        <v>122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1" t="s">
        <v>13</v>
      </c>
    </row>
    <row r="149" customFormat="false" ht="15" hidden="false" customHeight="true" outlineLevel="0" collapsed="false">
      <c r="A149" s="10" t="str">
        <f aca="false">IFERROR(VLOOKUP(B149,'Product Master'!$A:$C,3,0),"")</f>
        <v>CHEFS WAREHOUSE</v>
      </c>
      <c r="B149" s="11" t="s">
        <v>228</v>
      </c>
      <c r="C149" s="12" t="str">
        <f aca="false">IFERROR(VLOOKUP(B149,'Product Master'!$A:$B,2,0),"")</f>
        <v>CHICKEN, BREAST BONELESS SKINLESS BULK ABF [FREEBIRD]</v>
      </c>
      <c r="D149" s="13" t="str">
        <f aca="false">IFERROR(VLOOKUP(B149,'Product Master'!$A:$E,5,0),"")</f>
        <v>lb</v>
      </c>
      <c r="E149" s="38" t="str">
        <f aca="false">IFERROR(VLOOKUP(B149,'Product Master'!$A:$D,4,0),"")</f>
        <v>Proteins - Meat</v>
      </c>
      <c r="F149" s="15"/>
      <c r="G149" s="16" t="s">
        <v>15</v>
      </c>
      <c r="H149" s="16" t="s">
        <v>15</v>
      </c>
      <c r="I149" s="16" t="s">
        <v>15</v>
      </c>
      <c r="J149" s="16" t="s">
        <v>15</v>
      </c>
      <c r="K149" s="16" t="s">
        <v>15</v>
      </c>
      <c r="L149" s="16" t="s">
        <v>15</v>
      </c>
      <c r="M149" s="16" t="s">
        <v>15</v>
      </c>
      <c r="N149" s="1" t="s">
        <v>229</v>
      </c>
    </row>
    <row r="150" customFormat="false" ht="12.75" hidden="false" customHeight="true" outlineLevel="0" collapsed="false">
      <c r="A150" s="48" t="s">
        <v>138</v>
      </c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1" t="s">
        <v>13</v>
      </c>
    </row>
    <row r="151" customFormat="false" ht="15" hidden="false" customHeight="true" outlineLevel="0" collapsed="false">
      <c r="A151" s="10" t="str">
        <f aca="false">IFERROR(VLOOKUP(B151,'Product Master'!$A:$C,3,0),"")</f>
        <v>CHEFS WAREHOUSE</v>
      </c>
      <c r="B151" s="11" t="s">
        <v>230</v>
      </c>
      <c r="C151" s="12" t="str">
        <f aca="false">IFERROR(VLOOKUP(B151,'Product Master'!$A:$B,2,0),"")</f>
        <v>SQUID, RINGS AND TENTACLES 7/8 CLEANED WILD FZ [RIGHT SQUID]</v>
      </c>
      <c r="D151" s="13" t="str">
        <f aca="false">IFERROR(VLOOKUP(B151,'Product Master'!$A:$E,5,0),"")</f>
        <v>lb</v>
      </c>
      <c r="E151" s="49" t="str">
        <f aca="false">IFERROR(VLOOKUP(B151,'Product Master'!$A:$D,4,0),"")</f>
        <v>Proteins - Seafood</v>
      </c>
      <c r="F151" s="15"/>
      <c r="G151" s="16" t="s">
        <v>15</v>
      </c>
      <c r="H151" s="16" t="s">
        <v>15</v>
      </c>
      <c r="I151" s="16" t="s">
        <v>15</v>
      </c>
      <c r="J151" s="16" t="s">
        <v>15</v>
      </c>
      <c r="K151" s="16" t="s">
        <v>15</v>
      </c>
      <c r="L151" s="16" t="s">
        <v>15</v>
      </c>
      <c r="M151" s="16" t="s">
        <v>15</v>
      </c>
      <c r="N151" s="1" t="s">
        <v>231</v>
      </c>
    </row>
    <row r="152" customFormat="false" ht="19.5" hidden="false" customHeight="true" outlineLevel="0" collapsed="false">
      <c r="A152" s="34" t="s">
        <v>232</v>
      </c>
      <c r="B152" s="34"/>
      <c r="C152" s="35" t="s">
        <v>233</v>
      </c>
      <c r="D152" s="35"/>
      <c r="E152" s="35"/>
      <c r="F152" s="36" t="s">
        <v>10</v>
      </c>
      <c r="G152" s="36"/>
      <c r="H152" s="36"/>
      <c r="I152" s="36"/>
      <c r="J152" s="36"/>
      <c r="K152" s="36"/>
      <c r="L152" s="36"/>
      <c r="M152" s="36"/>
      <c r="N152" s="1" t="s">
        <v>11</v>
      </c>
    </row>
    <row r="153" customFormat="false" ht="12.75" hidden="false" customHeight="true" outlineLevel="0" collapsed="false">
      <c r="A153" s="9" t="s">
        <v>12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" t="s">
        <v>13</v>
      </c>
    </row>
    <row r="154" customFormat="false" ht="15" hidden="false" customHeight="true" outlineLevel="0" collapsed="false">
      <c r="A154" s="10" t="str">
        <f aca="false">IFERROR(VLOOKUP(B154,'Product Master'!$A:$C,3,0),"")</f>
        <v>BETA IMPORTS</v>
      </c>
      <c r="B154" s="11" t="s">
        <v>234</v>
      </c>
      <c r="C154" s="12" t="str">
        <f aca="false">IFERROR(VLOOKUP(B154,'Product Master'!$A:$B,2,0),"")</f>
        <v>ANCHOVY BOH FORMAT BUCKET 14.9 OZ [RIZZOLI]</v>
      </c>
      <c r="D154" s="13" t="str">
        <f aca="false">IFERROR(VLOOKUP(B154,'Product Master'!$A:$E,5,0),"")</f>
        <v>ea</v>
      </c>
      <c r="E154" s="14" t="str">
        <f aca="false">IFERROR(VLOOKUP(B154,'Product Master'!$A:$D,4,0),"")</f>
        <v>Dry Goods &amp; Pantry</v>
      </c>
      <c r="F154" s="15"/>
      <c r="G154" s="16" t="s">
        <v>15</v>
      </c>
      <c r="H154" s="16" t="s">
        <v>15</v>
      </c>
      <c r="I154" s="16" t="s">
        <v>15</v>
      </c>
      <c r="J154" s="16" t="s">
        <v>15</v>
      </c>
      <c r="K154" s="16" t="s">
        <v>15</v>
      </c>
      <c r="L154" s="16" t="s">
        <v>15</v>
      </c>
      <c r="M154" s="16" t="s">
        <v>15</v>
      </c>
      <c r="N154" s="1" t="s">
        <v>235</v>
      </c>
    </row>
    <row r="155" customFormat="false" ht="15" hidden="false" customHeight="true" outlineLevel="0" collapsed="false">
      <c r="A155" s="17" t="str">
        <f aca="false">IFERROR(VLOOKUP(B155,'Product Master'!$A:$C,3,0),"")</f>
        <v>BETA IMPORTS</v>
      </c>
      <c r="B155" s="18" t="s">
        <v>236</v>
      </c>
      <c r="C155" s="19" t="str">
        <f aca="false">IFERROR(VLOOKUP(B155,'Product Master'!$A:$B,2,0),"")</f>
        <v>PASTE, TOMATO DOUBLE CONCENTRATED 158.78 OZ BOH (MUTTI)</v>
      </c>
      <c r="D155" s="20" t="str">
        <f aca="false">IFERROR(VLOOKUP(B155,'Product Master'!$A:$E,5,0),"")</f>
        <v>ea</v>
      </c>
      <c r="E155" s="14" t="str">
        <f aca="false">IFERROR(VLOOKUP(B155,'Product Master'!$A:$D,4,0),"")</f>
        <v>Dry Goods &amp; Pantry</v>
      </c>
      <c r="F155" s="21"/>
      <c r="G155" s="22" t="s">
        <v>15</v>
      </c>
      <c r="H155" s="22" t="s">
        <v>15</v>
      </c>
      <c r="I155" s="22" t="s">
        <v>15</v>
      </c>
      <c r="J155" s="22" t="s">
        <v>15</v>
      </c>
      <c r="K155" s="22" t="s">
        <v>15</v>
      </c>
      <c r="L155" s="22" t="s">
        <v>15</v>
      </c>
      <c r="M155" s="22" t="s">
        <v>15</v>
      </c>
      <c r="N155" s="1" t="s">
        <v>39</v>
      </c>
    </row>
    <row r="156" customFormat="false" ht="15" hidden="false" customHeight="true" outlineLevel="0" collapsed="false">
      <c r="A156" s="10" t="str">
        <f aca="false">IFERROR(VLOOKUP(B156,'Product Master'!$A:$C,3,0),"")</f>
        <v>BETA IMPORTS</v>
      </c>
      <c r="B156" s="11" t="s">
        <v>237</v>
      </c>
      <c r="C156" s="12" t="str">
        <f aca="false">IFERROR(VLOOKUP(B156,'Product Master'!$A:$B,2,0),"")</f>
        <v>TOMATO PUREE PASSATA 6lb 10oz BOH</v>
      </c>
      <c r="D156" s="13" t="str">
        <f aca="false">IFERROR(VLOOKUP(B156,'Product Master'!$A:$E,5,0),"")</f>
        <v>ea</v>
      </c>
      <c r="E156" s="14" t="str">
        <f aca="false">IFERROR(VLOOKUP(B156,'Product Master'!$A:$D,4,0),"")</f>
        <v>Dry Goods &amp; Pantry</v>
      </c>
      <c r="F156" s="15"/>
      <c r="G156" s="16" t="s">
        <v>15</v>
      </c>
      <c r="H156" s="16" t="s">
        <v>15</v>
      </c>
      <c r="I156" s="16" t="s">
        <v>15</v>
      </c>
      <c r="J156" s="16" t="s">
        <v>15</v>
      </c>
      <c r="K156" s="16" t="s">
        <v>15</v>
      </c>
      <c r="L156" s="16" t="s">
        <v>15</v>
      </c>
      <c r="M156" s="16" t="s">
        <v>15</v>
      </c>
      <c r="N156" s="1" t="s">
        <v>39</v>
      </c>
    </row>
    <row r="157" customFormat="false" ht="15" hidden="false" customHeight="true" outlineLevel="0" collapsed="false">
      <c r="A157" s="17" t="str">
        <f aca="false">IFERROR(VLOOKUP(B157,'Product Master'!$A:$C,3,0),"")</f>
        <v>BETA IMPORTS</v>
      </c>
      <c r="B157" s="18" t="s">
        <v>238</v>
      </c>
      <c r="C157" s="19" t="str">
        <f aca="false">IFERROR(VLOOKUP(B157,'Product Master'!$A:$B,2,0),"")</f>
        <v>TOMATOES, POMODORI PELATI (PEELED) 6 LB 9.8OZ BOH (MUTTI) </v>
      </c>
      <c r="D157" s="20" t="str">
        <f aca="false">IFERROR(VLOOKUP(B157,'Product Master'!$A:$E,5,0),"")</f>
        <v>ea</v>
      </c>
      <c r="E157" s="14" t="str">
        <f aca="false">IFERROR(VLOOKUP(B157,'Product Master'!$A:$D,4,0),"")</f>
        <v>Dry Goods &amp; Pantry</v>
      </c>
      <c r="F157" s="21"/>
      <c r="G157" s="22" t="s">
        <v>15</v>
      </c>
      <c r="H157" s="22" t="s">
        <v>15</v>
      </c>
      <c r="I157" s="22" t="s">
        <v>15</v>
      </c>
      <c r="J157" s="22" t="s">
        <v>15</v>
      </c>
      <c r="K157" s="22" t="s">
        <v>15</v>
      </c>
      <c r="L157" s="22" t="s">
        <v>15</v>
      </c>
      <c r="M157" s="22" t="s">
        <v>15</v>
      </c>
      <c r="N157" s="1" t="s">
        <v>239</v>
      </c>
    </row>
    <row r="158" customFormat="false" ht="12.75" hidden="false" customHeight="true" outlineLevel="0" collapsed="false">
      <c r="A158" s="56" t="s">
        <v>240</v>
      </c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1" t="s">
        <v>13</v>
      </c>
    </row>
    <row r="159" customFormat="false" ht="15" hidden="false" customHeight="true" outlineLevel="0" collapsed="false">
      <c r="A159" s="10" t="str">
        <f aca="false">IFERROR(VLOOKUP(B159,'Product Master'!$A:$C,3,0),"")</f>
        <v>BETA IMPORTS</v>
      </c>
      <c r="B159" s="11" t="s">
        <v>241</v>
      </c>
      <c r="C159" s="12" t="str">
        <f aca="false">IFERROR(VLOOKUP(B159,'Product Master'!$A:$B,2,0),"")</f>
        <v>RICE, ARBORIO (BOH) 1 KG [RISO SCOTTI]</v>
      </c>
      <c r="D159" s="13" t="str">
        <f aca="false">IFERROR(VLOOKUP(B159,'Product Master'!$A:$E,5,0),"")</f>
        <v>ea</v>
      </c>
      <c r="E159" s="57" t="str">
        <f aca="false">IFERROR(VLOOKUP(B159,'Product Master'!$A:$D,4,0),"")</f>
        <v>Pasta &amp; Grains</v>
      </c>
      <c r="F159" s="15"/>
      <c r="G159" s="16" t="s">
        <v>15</v>
      </c>
      <c r="H159" s="16" t="s">
        <v>15</v>
      </c>
      <c r="I159" s="16" t="s">
        <v>15</v>
      </c>
      <c r="J159" s="16" t="s">
        <v>15</v>
      </c>
      <c r="K159" s="16" t="s">
        <v>15</v>
      </c>
      <c r="L159" s="16" t="s">
        <v>15</v>
      </c>
      <c r="M159" s="16" t="s">
        <v>15</v>
      </c>
      <c r="N159" s="1" t="s">
        <v>242</v>
      </c>
    </row>
    <row r="160" customFormat="false" ht="19.5" hidden="false" customHeight="true" outlineLevel="0" collapsed="false">
      <c r="A160" s="58" t="s">
        <v>243</v>
      </c>
      <c r="B160" s="58"/>
      <c r="C160" s="59" t="s">
        <v>244</v>
      </c>
      <c r="D160" s="59"/>
      <c r="E160" s="59"/>
      <c r="F160" s="60"/>
      <c r="G160" s="60"/>
      <c r="H160" s="60"/>
      <c r="I160" s="60"/>
      <c r="J160" s="60"/>
      <c r="K160" s="60"/>
      <c r="L160" s="60"/>
      <c r="M160" s="60"/>
      <c r="N160" s="1" t="s">
        <v>11</v>
      </c>
    </row>
    <row r="161" customFormat="false" ht="12.75" hidden="false" customHeight="true" outlineLevel="0" collapsed="false">
      <c r="A161" s="32" t="s">
        <v>101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1" t="s">
        <v>13</v>
      </c>
    </row>
    <row r="162" customFormat="false" ht="15" hidden="false" customHeight="true" outlineLevel="0" collapsed="false">
      <c r="A162" s="10" t="str">
        <f aca="false">IFERROR(VLOOKUP(B162,'Product Master'!$A:$C,3,0),"")</f>
        <v>CHEFS WAREHOUSE</v>
      </c>
      <c r="B162" s="11" t="s">
        <v>245</v>
      </c>
      <c r="C162" s="12" t="str">
        <f aca="false">IFERROR(VLOOKUP(B162,'Product Master'!$A:$B,2,0),"")</f>
        <v>80% UNSALTED BUTTER 1LB</v>
      </c>
      <c r="D162" s="13" t="str">
        <f aca="false">IFERROR(VLOOKUP(B162,'Product Master'!$A:$E,5,0),"")</f>
        <v>CA30</v>
      </c>
      <c r="E162" s="33" t="str">
        <f aca="false">IFERROR(VLOOKUP(B162,'Product Master'!$A:$D,4,0),"")</f>
        <v>Dairy &amp; Eggs</v>
      </c>
      <c r="F162" s="15"/>
      <c r="G162" s="16" t="s">
        <v>15</v>
      </c>
      <c r="H162" s="16" t="s">
        <v>15</v>
      </c>
      <c r="I162" s="16" t="s">
        <v>15</v>
      </c>
      <c r="J162" s="16" t="s">
        <v>15</v>
      </c>
      <c r="K162" s="16" t="s">
        <v>15</v>
      </c>
      <c r="L162" s="16" t="s">
        <v>15</v>
      </c>
      <c r="M162" s="16" t="s">
        <v>15</v>
      </c>
      <c r="N162" s="1" t="s">
        <v>72</v>
      </c>
    </row>
    <row r="163" customFormat="false" ht="12.75" hidden="false" customHeight="true" outlineLevel="0" collapsed="false">
      <c r="A163" s="9" t="s">
        <v>12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" t="s">
        <v>13</v>
      </c>
    </row>
    <row r="164" customFormat="false" ht="15" hidden="false" customHeight="true" outlineLevel="0" collapsed="false">
      <c r="A164" s="10" t="str">
        <f aca="false">IFERROR(VLOOKUP(B164,'Product Master'!$A:$C,3,0),"")</f>
        <v>NO VENDOR</v>
      </c>
      <c r="B164" s="11" t="s">
        <v>246</v>
      </c>
      <c r="C164" s="12" t="str">
        <f aca="false">IFERROR(VLOOKUP(B164,'Product Master'!$A:$B,2,0),"")</f>
        <v>OIL, MUSTARD</v>
      </c>
      <c r="D164" s="13" t="str">
        <f aca="false">IFERROR(VLOOKUP(B164,'Product Master'!$A:$E,5,0),"")</f>
        <v>CA12</v>
      </c>
      <c r="E164" s="14" t="str">
        <f aca="false">IFERROR(VLOOKUP(B164,'Product Master'!$A:$D,4,0),"")</f>
        <v>Dry Goods &amp; Pantry</v>
      </c>
      <c r="F164" s="15"/>
      <c r="G164" s="16" t="s">
        <v>15</v>
      </c>
      <c r="H164" s="16" t="s">
        <v>15</v>
      </c>
      <c r="I164" s="16" t="s">
        <v>15</v>
      </c>
      <c r="J164" s="16" t="s">
        <v>15</v>
      </c>
      <c r="K164" s="16" t="s">
        <v>15</v>
      </c>
      <c r="L164" s="16" t="s">
        <v>15</v>
      </c>
      <c r="M164" s="16" t="s">
        <v>15</v>
      </c>
      <c r="N164" s="1" t="s">
        <v>54</v>
      </c>
    </row>
    <row r="165" customFormat="false" ht="15" hidden="false" customHeight="true" outlineLevel="0" collapsed="false">
      <c r="A165" s="17" t="str">
        <f aca="false">IFERROR(VLOOKUP(B165,'Product Master'!$A:$C,3,0),"")</f>
        <v>CHEFS WAREHOUSE</v>
      </c>
      <c r="B165" s="18" t="s">
        <v>247</v>
      </c>
      <c r="C165" s="19" t="str">
        <f aca="false">IFERROR(VLOOKUP(B165,'Product Master'!$A:$B,2,0),"")</f>
        <v>PEPPER, RED CRUSHED</v>
      </c>
      <c r="D165" s="20" t="str">
        <f aca="false">IFERROR(VLOOKUP(B165,'Product Master'!$A:$E,5,0),"")</f>
        <v>CA1</v>
      </c>
      <c r="E165" s="14" t="str">
        <f aca="false">IFERROR(VLOOKUP(B165,'Product Master'!$A:$D,4,0),"")</f>
        <v>Dry Goods &amp; Pantry</v>
      </c>
      <c r="F165" s="21"/>
      <c r="G165" s="22" t="s">
        <v>15</v>
      </c>
      <c r="H165" s="22" t="s">
        <v>15</v>
      </c>
      <c r="I165" s="22" t="s">
        <v>15</v>
      </c>
      <c r="J165" s="22" t="s">
        <v>15</v>
      </c>
      <c r="K165" s="22" t="s">
        <v>15</v>
      </c>
      <c r="L165" s="22" t="s">
        <v>15</v>
      </c>
      <c r="M165" s="22" t="s">
        <v>15</v>
      </c>
      <c r="N165" s="1" t="s">
        <v>248</v>
      </c>
    </row>
    <row r="166" customFormat="false" ht="12.75" hidden="false" customHeight="true" outlineLevel="0" collapsed="false">
      <c r="A166" s="23" t="s">
        <v>19</v>
      </c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1" t="s">
        <v>13</v>
      </c>
    </row>
    <row r="167" customFormat="false" ht="15" hidden="false" customHeight="true" outlineLevel="0" collapsed="false">
      <c r="A167" s="10" t="str">
        <f aca="false">IFERROR(VLOOKUP(B167,'Product Master'!$A:$C,3,0),"")</f>
        <v>NO VENDOR</v>
      </c>
      <c r="B167" s="11" t="s">
        <v>249</v>
      </c>
      <c r="C167" s="12" t="str">
        <f aca="false">IFERROR(VLOOKUP(B167,'Product Master'!$A:$B,2,0),"")</f>
        <v>BRANDY, BLANSAC</v>
      </c>
      <c r="D167" s="13" t="str">
        <f aca="false">IFERROR(VLOOKUP(B167,'Product Master'!$A:$E,5,0),"")</f>
        <v>ea</v>
      </c>
      <c r="E167" s="24" t="str">
        <f aca="false">IFERROR(VLOOKUP(B167,'Product Master'!$A:$D,4,0),"")</f>
        <v>Other</v>
      </c>
      <c r="F167" s="15"/>
      <c r="G167" s="16" t="s">
        <v>15</v>
      </c>
      <c r="H167" s="16" t="s">
        <v>15</v>
      </c>
      <c r="I167" s="16" t="s">
        <v>15</v>
      </c>
      <c r="J167" s="16" t="s">
        <v>15</v>
      </c>
      <c r="K167" s="16" t="s">
        <v>15</v>
      </c>
      <c r="L167" s="16" t="s">
        <v>15</v>
      </c>
      <c r="M167" s="16" t="s">
        <v>15</v>
      </c>
      <c r="N167" s="1" t="s">
        <v>93</v>
      </c>
    </row>
    <row r="168" customFormat="false" ht="15" hidden="false" customHeight="true" outlineLevel="0" collapsed="false">
      <c r="A168" s="17" t="str">
        <f aca="false">IFERROR(VLOOKUP(B168,'Product Master'!$A:$C,3,0),"")</f>
        <v>URBANI TRUFFLE</v>
      </c>
      <c r="B168" s="18" t="s">
        <v>250</v>
      </c>
      <c r="C168" s="19" t="str">
        <f aca="false">IFERROR(VLOOKUP(B168,'Product Master'!$A:$B,2,0),"")</f>
        <v>BUTTER, BLACK TRUFFLE 16oz (URBANI)</v>
      </c>
      <c r="D168" s="20" t="str">
        <f aca="false">IFERROR(VLOOKUP(B168,'Product Master'!$A:$E,5,0),"")</f>
        <v>ea</v>
      </c>
      <c r="E168" s="24" t="str">
        <f aca="false">IFERROR(VLOOKUP(B168,'Product Master'!$A:$D,4,0),"")</f>
        <v>Other</v>
      </c>
      <c r="F168" s="21"/>
      <c r="G168" s="22" t="s">
        <v>15</v>
      </c>
      <c r="H168" s="22" t="s">
        <v>15</v>
      </c>
      <c r="I168" s="22" t="s">
        <v>15</v>
      </c>
      <c r="J168" s="22" t="s">
        <v>15</v>
      </c>
      <c r="K168" s="22" t="s">
        <v>15</v>
      </c>
      <c r="L168" s="22" t="s">
        <v>15</v>
      </c>
      <c r="M168" s="22" t="s">
        <v>15</v>
      </c>
      <c r="N168" s="1" t="s">
        <v>251</v>
      </c>
    </row>
    <row r="169" customFormat="false" ht="15" hidden="false" customHeight="true" outlineLevel="0" collapsed="false">
      <c r="A169" s="10" t="str">
        <f aca="false">IFERROR(VLOOKUP(B169,'Product Master'!$A:$C,3,0),"")</f>
        <v>GOURMET FOODS INT</v>
      </c>
      <c r="B169" s="11" t="s">
        <v>252</v>
      </c>
      <c r="C169" s="12" t="str">
        <f aca="false">IFERROR(VLOOKUP(B169,'Product Master'!$A:$B,2,0),"")</f>
        <v>COPPA, DOP (I PIACENTINI)</v>
      </c>
      <c r="D169" s="13" t="str">
        <f aca="false">IFERROR(VLOOKUP(B169,'Product Master'!$A:$E,5,0),"")</f>
        <v>ea</v>
      </c>
      <c r="E169" s="24" t="str">
        <f aca="false">IFERROR(VLOOKUP(B169,'Product Master'!$A:$D,4,0),"")</f>
        <v>Other</v>
      </c>
      <c r="F169" s="15"/>
      <c r="G169" s="16" t="s">
        <v>15</v>
      </c>
      <c r="H169" s="16" t="s">
        <v>15</v>
      </c>
      <c r="I169" s="16" t="s">
        <v>15</v>
      </c>
      <c r="J169" s="16" t="s">
        <v>15</v>
      </c>
      <c r="K169" s="16" t="s">
        <v>15</v>
      </c>
      <c r="L169" s="16" t="s">
        <v>15</v>
      </c>
      <c r="M169" s="16" t="s">
        <v>15</v>
      </c>
      <c r="N169" s="1" t="s">
        <v>54</v>
      </c>
    </row>
    <row r="170" customFormat="false" ht="15" hidden="false" customHeight="true" outlineLevel="0" collapsed="false">
      <c r="A170" s="17" t="str">
        <f aca="false">IFERROR(VLOOKUP(B170,'Product Master'!$A:$C,3,0),"")</f>
        <v>NO VENDOR</v>
      </c>
      <c r="B170" s="18" t="s">
        <v>253</v>
      </c>
      <c r="C170" s="19" t="str">
        <f aca="false">IFERROR(VLOOKUP(B170,'Product Master'!$A:$B,2,0),"")</f>
        <v>MALT, DIASTATIC POWDER</v>
      </c>
      <c r="D170" s="20" t="str">
        <f aca="false">IFERROR(VLOOKUP(B170,'Product Master'!$A:$E,5,0),"")</f>
        <v>CA1</v>
      </c>
      <c r="E170" s="24" t="str">
        <f aca="false">IFERROR(VLOOKUP(B170,'Product Master'!$A:$D,4,0),"")</f>
        <v>Other</v>
      </c>
      <c r="F170" s="21"/>
      <c r="G170" s="22" t="s">
        <v>15</v>
      </c>
      <c r="H170" s="22" t="s">
        <v>15</v>
      </c>
      <c r="I170" s="22" t="s">
        <v>15</v>
      </c>
      <c r="J170" s="22" t="s">
        <v>15</v>
      </c>
      <c r="K170" s="22" t="s">
        <v>15</v>
      </c>
      <c r="L170" s="22" t="s">
        <v>15</v>
      </c>
      <c r="M170" s="22" t="s">
        <v>15</v>
      </c>
      <c r="N170" s="1" t="s">
        <v>254</v>
      </c>
    </row>
    <row r="171" customFormat="false" ht="15" hidden="false" customHeight="true" outlineLevel="0" collapsed="false">
      <c r="A171" s="10" t="str">
        <f aca="false">IFERROR(VLOOKUP(B171,'Product Master'!$A:$C,3,0),"")</f>
        <v>NO VENDOR</v>
      </c>
      <c r="B171" s="11" t="s">
        <v>255</v>
      </c>
      <c r="C171" s="12" t="str">
        <f aca="false">IFERROR(VLOOKUP(B171,'Product Master'!$A:$B,2,0),"")</f>
        <v>MONTEPULCIANO D'ABRUZZO, DONNA GIULIANA</v>
      </c>
      <c r="D171" s="13" t="str">
        <f aca="false">IFERROR(VLOOKUP(B171,'Product Master'!$A:$E,5,0),"")</f>
        <v>ea</v>
      </c>
      <c r="E171" s="24" t="str">
        <f aca="false">IFERROR(VLOOKUP(B171,'Product Master'!$A:$D,4,0),"")</f>
        <v>Other</v>
      </c>
      <c r="F171" s="15"/>
      <c r="G171" s="16" t="s">
        <v>15</v>
      </c>
      <c r="H171" s="16" t="s">
        <v>15</v>
      </c>
      <c r="I171" s="16" t="s">
        <v>15</v>
      </c>
      <c r="J171" s="16" t="s">
        <v>15</v>
      </c>
      <c r="K171" s="16" t="s">
        <v>15</v>
      </c>
      <c r="L171" s="16" t="s">
        <v>15</v>
      </c>
      <c r="M171" s="16" t="s">
        <v>15</v>
      </c>
      <c r="N171" s="1" t="s">
        <v>39</v>
      </c>
    </row>
    <row r="172" customFormat="false" ht="15" hidden="false" customHeight="true" outlineLevel="0" collapsed="false">
      <c r="A172" s="17" t="str">
        <f aca="false">IFERROR(VLOOKUP(B172,'Product Master'!$A:$C,3,0),"")</f>
        <v>BALDOR</v>
      </c>
      <c r="B172" s="18" t="s">
        <v>256</v>
      </c>
      <c r="C172" s="19" t="str">
        <f aca="false">IFERROR(VLOOKUP(B172,'Product Master'!$A:$B,2,0),"")</f>
        <v>MUSHROOM PORTOBELLO, JUMBO</v>
      </c>
      <c r="D172" s="20" t="str">
        <f aca="false">IFERROR(VLOOKUP(B172,'Product Master'!$A:$E,5,0),"")</f>
        <v>ea</v>
      </c>
      <c r="E172" s="24" t="str">
        <f aca="false">IFERROR(VLOOKUP(B172,'Product Master'!$A:$D,4,0),"")</f>
        <v>Other</v>
      </c>
      <c r="F172" s="21"/>
      <c r="G172" s="22" t="s">
        <v>15</v>
      </c>
      <c r="H172" s="22" t="s">
        <v>15</v>
      </c>
      <c r="I172" s="22" t="s">
        <v>15</v>
      </c>
      <c r="J172" s="22" t="s">
        <v>15</v>
      </c>
      <c r="K172" s="22" t="s">
        <v>15</v>
      </c>
      <c r="L172" s="22" t="s">
        <v>15</v>
      </c>
      <c r="M172" s="22" t="s">
        <v>15</v>
      </c>
      <c r="N172" s="1" t="s">
        <v>44</v>
      </c>
    </row>
    <row r="173" customFormat="false" ht="15" hidden="false" customHeight="true" outlineLevel="0" collapsed="false">
      <c r="A173" s="10" t="str">
        <f aca="false">IFERROR(VLOOKUP(B173,'Product Master'!$A:$C,3,0),"")</f>
        <v>BALDOR</v>
      </c>
      <c r="B173" s="11" t="s">
        <v>257</v>
      </c>
      <c r="C173" s="12" t="str">
        <f aca="false">IFERROR(VLOOKUP(B173,'Product Master'!$A:$B,2,0),"")</f>
        <v>MUSHROOM, SHIITAKE EXTRA LARGE</v>
      </c>
      <c r="D173" s="13" t="str">
        <f aca="false">IFERROR(VLOOKUP(B173,'Product Master'!$A:$E,5,0),"")</f>
        <v>ea</v>
      </c>
      <c r="E173" s="24" t="str">
        <f aca="false">IFERROR(VLOOKUP(B173,'Product Master'!$A:$D,4,0),"")</f>
        <v>Other</v>
      </c>
      <c r="F173" s="15"/>
      <c r="G173" s="16" t="s">
        <v>15</v>
      </c>
      <c r="H173" s="16" t="s">
        <v>15</v>
      </c>
      <c r="I173" s="16" t="s">
        <v>15</v>
      </c>
      <c r="J173" s="16" t="s">
        <v>15</v>
      </c>
      <c r="K173" s="16" t="s">
        <v>15</v>
      </c>
      <c r="L173" s="16" t="s">
        <v>15</v>
      </c>
      <c r="M173" s="16" t="s">
        <v>15</v>
      </c>
      <c r="N173" s="1" t="s">
        <v>44</v>
      </c>
    </row>
    <row r="174" customFormat="false" ht="15" hidden="false" customHeight="true" outlineLevel="0" collapsed="false">
      <c r="A174" s="17" t="str">
        <f aca="false">IFERROR(VLOOKUP(B174,'Product Master'!$A:$C,3,0),"")</f>
        <v>BETA IMPORTS</v>
      </c>
      <c r="B174" s="18" t="s">
        <v>258</v>
      </c>
      <c r="C174" s="19" t="str">
        <f aca="false">IFERROR(VLOOKUP(B174,'Product Master'!$A:$B,2,0),"")</f>
        <v>OLIVE OIL, EUROPEAN BLEND 5L (OLITALIA)</v>
      </c>
      <c r="D174" s="20" t="str">
        <f aca="false">IFERROR(VLOOKUP(B174,'Product Master'!$A:$E,5,0),"")</f>
        <v>ea</v>
      </c>
      <c r="E174" s="24" t="str">
        <f aca="false">IFERROR(VLOOKUP(B174,'Product Master'!$A:$D,4,0),"")</f>
        <v>Other</v>
      </c>
      <c r="F174" s="21"/>
      <c r="G174" s="22" t="s">
        <v>15</v>
      </c>
      <c r="H174" s="22" t="s">
        <v>15</v>
      </c>
      <c r="I174" s="22" t="s">
        <v>15</v>
      </c>
      <c r="J174" s="22" t="s">
        <v>15</v>
      </c>
      <c r="K174" s="22" t="s">
        <v>15</v>
      </c>
      <c r="L174" s="22" t="s">
        <v>15</v>
      </c>
      <c r="M174" s="22" t="s">
        <v>15</v>
      </c>
      <c r="N174" s="1" t="s">
        <v>259</v>
      </c>
    </row>
    <row r="175" customFormat="false" ht="15" hidden="false" customHeight="true" outlineLevel="0" collapsed="false">
      <c r="A175" s="10" t="str">
        <f aca="false">IFERROR(VLOOKUP(B175,'Product Master'!$A:$C,3,0),"")</f>
        <v>BETA IMPORTS</v>
      </c>
      <c r="B175" s="11" t="s">
        <v>260</v>
      </c>
      <c r="C175" s="12" t="str">
        <f aca="false">IFERROR(VLOOKUP(B175,'Product Master'!$A:$B,2,0),"")</f>
        <v>OLIVE OIL, EXTRA VIRGIN BOERI 169.1oz (ROI)</v>
      </c>
      <c r="D175" s="13" t="str">
        <f aca="false">IFERROR(VLOOKUP(B175,'Product Master'!$A:$E,5,0),"")</f>
        <v>ea</v>
      </c>
      <c r="E175" s="24" t="str">
        <f aca="false">IFERROR(VLOOKUP(B175,'Product Master'!$A:$D,4,0),"")</f>
        <v>Other</v>
      </c>
      <c r="F175" s="15"/>
      <c r="G175" s="16" t="s">
        <v>15</v>
      </c>
      <c r="H175" s="16" t="s">
        <v>15</v>
      </c>
      <c r="I175" s="16" t="s">
        <v>15</v>
      </c>
      <c r="J175" s="16" t="s">
        <v>15</v>
      </c>
      <c r="K175" s="16" t="s">
        <v>15</v>
      </c>
      <c r="L175" s="16" t="s">
        <v>15</v>
      </c>
      <c r="M175" s="16" t="s">
        <v>15</v>
      </c>
      <c r="N175" s="1" t="s">
        <v>261</v>
      </c>
    </row>
    <row r="176" customFormat="false" ht="15" hidden="false" customHeight="true" outlineLevel="0" collapsed="false">
      <c r="A176" s="17" t="str">
        <f aca="false">IFERROR(VLOOKUP(B176,'Product Master'!$A:$C,3,0),"")</f>
        <v>BALDOR</v>
      </c>
      <c r="B176" s="18" t="s">
        <v>262</v>
      </c>
      <c r="C176" s="19" t="str">
        <f aca="false">IFERROR(VLOOKUP(B176,'Product Master'!$A:$B,2,0),"")</f>
        <v>ONION RED DICE 1/4"</v>
      </c>
      <c r="D176" s="20" t="str">
        <f aca="false">IFERROR(VLOOKUP(B176,'Product Master'!$A:$E,5,0),"")</f>
        <v>ea</v>
      </c>
      <c r="E176" s="24" t="str">
        <f aca="false">IFERROR(VLOOKUP(B176,'Product Master'!$A:$D,4,0),"")</f>
        <v>Other</v>
      </c>
      <c r="F176" s="21"/>
      <c r="G176" s="22" t="s">
        <v>15</v>
      </c>
      <c r="H176" s="22" t="s">
        <v>15</v>
      </c>
      <c r="I176" s="22" t="s">
        <v>15</v>
      </c>
      <c r="J176" s="22" t="s">
        <v>15</v>
      </c>
      <c r="K176" s="22" t="s">
        <v>15</v>
      </c>
      <c r="L176" s="22" t="s">
        <v>15</v>
      </c>
      <c r="M176" s="22" t="s">
        <v>15</v>
      </c>
      <c r="N176" s="1" t="s">
        <v>263</v>
      </c>
    </row>
    <row r="177" customFormat="false" ht="15" hidden="false" customHeight="true" outlineLevel="0" collapsed="false">
      <c r="A177" s="10" t="str">
        <f aca="false">IFERROR(VLOOKUP(B177,'Product Master'!$A:$C,3,0),"")</f>
        <v>BALDOR</v>
      </c>
      <c r="B177" s="11" t="s">
        <v>264</v>
      </c>
      <c r="C177" s="12" t="str">
        <f aca="false">IFERROR(VLOOKUP(B177,'Product Master'!$A:$B,2,0),"")</f>
        <v>ONION, SHALLOTS PEELED</v>
      </c>
      <c r="D177" s="13" t="str">
        <f aca="false">IFERROR(VLOOKUP(B177,'Product Master'!$A:$E,5,0),"")</f>
        <v>ea</v>
      </c>
      <c r="E177" s="24" t="str">
        <f aca="false">IFERROR(VLOOKUP(B177,'Product Master'!$A:$D,4,0),"")</f>
        <v>Other</v>
      </c>
      <c r="F177" s="15"/>
      <c r="G177" s="16" t="s">
        <v>15</v>
      </c>
      <c r="H177" s="16" t="s">
        <v>15</v>
      </c>
      <c r="I177" s="16" t="s">
        <v>15</v>
      </c>
      <c r="J177" s="16" t="s">
        <v>15</v>
      </c>
      <c r="K177" s="16" t="s">
        <v>15</v>
      </c>
      <c r="L177" s="16" t="s">
        <v>15</v>
      </c>
      <c r="M177" s="16" t="s">
        <v>15</v>
      </c>
      <c r="N177" s="1" t="s">
        <v>265</v>
      </c>
    </row>
    <row r="178" customFormat="false" ht="15" hidden="false" customHeight="true" outlineLevel="0" collapsed="false">
      <c r="A178" s="17" t="str">
        <f aca="false">IFERROR(VLOOKUP(B178,'Product Master'!$A:$C,3,0),"")</f>
        <v>GOURMET FOODS INT</v>
      </c>
      <c r="B178" s="18" t="s">
        <v>266</v>
      </c>
      <c r="C178" s="19" t="str">
        <f aca="false">IFERROR(VLOOKUP(B178,'Product Master'!$A:$B,2,0),"")</f>
        <v>PANCETTA, DOP (I PIACENTINI)</v>
      </c>
      <c r="D178" s="20" t="str">
        <f aca="false">IFERROR(VLOOKUP(B178,'Product Master'!$A:$E,5,0),"")</f>
        <v>ea</v>
      </c>
      <c r="E178" s="24" t="str">
        <f aca="false">IFERROR(VLOOKUP(B178,'Product Master'!$A:$D,4,0),"")</f>
        <v>Other</v>
      </c>
      <c r="F178" s="21"/>
      <c r="G178" s="22" t="s">
        <v>15</v>
      </c>
      <c r="H178" s="22" t="s">
        <v>15</v>
      </c>
      <c r="I178" s="22" t="s">
        <v>15</v>
      </c>
      <c r="J178" s="22" t="s">
        <v>15</v>
      </c>
      <c r="K178" s="22" t="s">
        <v>15</v>
      </c>
      <c r="L178" s="22" t="s">
        <v>15</v>
      </c>
      <c r="M178" s="22" t="s">
        <v>15</v>
      </c>
      <c r="N178" s="1" t="s">
        <v>267</v>
      </c>
    </row>
    <row r="179" customFormat="false" ht="15" hidden="false" customHeight="true" outlineLevel="0" collapsed="false">
      <c r="A179" s="10" t="str">
        <f aca="false">IFERROR(VLOOKUP(B179,'Product Master'!$A:$C,3,0),"")</f>
        <v>BETA IMPORTS</v>
      </c>
      <c r="B179" s="11" t="s">
        <v>268</v>
      </c>
      <c r="C179" s="12" t="str">
        <f aca="false">IFERROR(VLOOKUP(B179,'Product Master'!$A:$B,2,0),"")</f>
        <v>PASTA, LINGUINI 35.3oz 1kg (AFELTRA)</v>
      </c>
      <c r="D179" s="13" t="str">
        <f aca="false">IFERROR(VLOOKUP(B179,'Product Master'!$A:$E,5,0),"")</f>
        <v>ea</v>
      </c>
      <c r="E179" s="24" t="str">
        <f aca="false">IFERROR(VLOOKUP(B179,'Product Master'!$A:$D,4,0),"")</f>
        <v>Other</v>
      </c>
      <c r="F179" s="15"/>
      <c r="G179" s="16" t="s">
        <v>15</v>
      </c>
      <c r="H179" s="16" t="s">
        <v>15</v>
      </c>
      <c r="I179" s="16" t="s">
        <v>15</v>
      </c>
      <c r="J179" s="16" t="s">
        <v>15</v>
      </c>
      <c r="K179" s="16" t="s">
        <v>15</v>
      </c>
      <c r="L179" s="16" t="s">
        <v>15</v>
      </c>
      <c r="M179" s="16" t="s">
        <v>15</v>
      </c>
      <c r="N179" s="1" t="s">
        <v>93</v>
      </c>
    </row>
    <row r="180" customFormat="false" ht="15" hidden="false" customHeight="true" outlineLevel="0" collapsed="false">
      <c r="A180" s="17" t="str">
        <f aca="false">IFERROR(VLOOKUP(B180,'Product Master'!$A:$C,3,0),"")</f>
        <v>BETA IMPORTS</v>
      </c>
      <c r="B180" s="18" t="s">
        <v>269</v>
      </c>
      <c r="C180" s="19" t="str">
        <f aca="false">IFERROR(VLOOKUP(B180,'Product Master'!$A:$B,2,0),"")</f>
        <v>PASTA, SPAGHETTI 35.3oz (AFELTRA)</v>
      </c>
      <c r="D180" s="20" t="str">
        <f aca="false">IFERROR(VLOOKUP(B180,'Product Master'!$A:$E,5,0),"")</f>
        <v>ea</v>
      </c>
      <c r="E180" s="24" t="str">
        <f aca="false">IFERROR(VLOOKUP(B180,'Product Master'!$A:$D,4,0),"")</f>
        <v>Other</v>
      </c>
      <c r="F180" s="21"/>
      <c r="G180" s="22" t="s">
        <v>15</v>
      </c>
      <c r="H180" s="22" t="s">
        <v>15</v>
      </c>
      <c r="I180" s="22" t="s">
        <v>15</v>
      </c>
      <c r="J180" s="22" t="s">
        <v>15</v>
      </c>
      <c r="K180" s="22" t="s">
        <v>15</v>
      </c>
      <c r="L180" s="22" t="s">
        <v>15</v>
      </c>
      <c r="M180" s="22" t="s">
        <v>15</v>
      </c>
      <c r="N180" s="1" t="s">
        <v>270</v>
      </c>
    </row>
    <row r="181" customFormat="false" ht="15" hidden="false" customHeight="true" outlineLevel="0" collapsed="false">
      <c r="A181" s="10" t="str">
        <f aca="false">IFERROR(VLOOKUP(B181,'Product Master'!$A:$C,3,0),"")</f>
        <v>BETA IMPORTS</v>
      </c>
      <c r="B181" s="11" t="s">
        <v>271</v>
      </c>
      <c r="C181" s="12" t="str">
        <f aca="false">IFERROR(VLOOKUP(B181,'Product Master'!$A:$B,2,0),"")</f>
        <v>RED DATTERINO, WITH JUICE 28.2oz 800gr (COSI COME) (F</v>
      </c>
      <c r="D181" s="13" t="str">
        <f aca="false">IFERROR(VLOOKUP(B181,'Product Master'!$A:$E,5,0),"")</f>
        <v>ea</v>
      </c>
      <c r="E181" s="24" t="str">
        <f aca="false">IFERROR(VLOOKUP(B181,'Product Master'!$A:$D,4,0),"")</f>
        <v>Other</v>
      </c>
      <c r="F181" s="15"/>
      <c r="G181" s="16" t="s">
        <v>15</v>
      </c>
      <c r="H181" s="16" t="s">
        <v>15</v>
      </c>
      <c r="I181" s="16" t="s">
        <v>15</v>
      </c>
      <c r="J181" s="16" t="s">
        <v>15</v>
      </c>
      <c r="K181" s="16" t="s">
        <v>15</v>
      </c>
      <c r="L181" s="16" t="s">
        <v>15</v>
      </c>
      <c r="M181" s="16" t="s">
        <v>15</v>
      </c>
      <c r="N181" s="1" t="s">
        <v>270</v>
      </c>
    </row>
    <row r="182" customFormat="false" ht="15" hidden="false" customHeight="true" outlineLevel="0" collapsed="false">
      <c r="A182" s="17" t="str">
        <f aca="false">IFERROR(VLOOKUP(B182,'Product Master'!$A:$C,3,0),"")</f>
        <v>BETA IMPORTS</v>
      </c>
      <c r="B182" s="18" t="s">
        <v>272</v>
      </c>
      <c r="C182" s="19" t="str">
        <f aca="false">IFERROR(VLOOKUP(B182,'Product Master'!$A:$B,2,0),"")</f>
        <v>SALT, SICILIAN COARSE 2.2lb (ELIKA)</v>
      </c>
      <c r="D182" s="20" t="str">
        <f aca="false">IFERROR(VLOOKUP(B182,'Product Master'!$A:$E,5,0),"")</f>
        <v>ea</v>
      </c>
      <c r="E182" s="24" t="str">
        <f aca="false">IFERROR(VLOOKUP(B182,'Product Master'!$A:$D,4,0),"")</f>
        <v>Other</v>
      </c>
      <c r="F182" s="21"/>
      <c r="G182" s="22" t="s">
        <v>15</v>
      </c>
      <c r="H182" s="22" t="s">
        <v>15</v>
      </c>
      <c r="I182" s="22" t="s">
        <v>15</v>
      </c>
      <c r="J182" s="22" t="s">
        <v>15</v>
      </c>
      <c r="K182" s="22" t="s">
        <v>15</v>
      </c>
      <c r="L182" s="22" t="s">
        <v>15</v>
      </c>
      <c r="M182" s="22" t="s">
        <v>15</v>
      </c>
      <c r="N182" s="1" t="s">
        <v>270</v>
      </c>
    </row>
    <row r="183" customFormat="false" ht="15" hidden="false" customHeight="true" outlineLevel="0" collapsed="false">
      <c r="A183" s="10" t="str">
        <f aca="false">IFERROR(VLOOKUP(B183,'Product Master'!$A:$C,3,0),"")</f>
        <v>CHEFS WAREHOUSE</v>
      </c>
      <c r="B183" s="11" t="s">
        <v>273</v>
      </c>
      <c r="C183" s="12" t="str">
        <f aca="false">IFERROR(VLOOKUP(B183,'Product Master'!$A:$B,2,0),"")</f>
        <v>Sea Salt Flakes</v>
      </c>
      <c r="D183" s="13" t="str">
        <f aca="false">IFERROR(VLOOKUP(B183,'Product Master'!$A:$E,5,0),"")</f>
        <v>ea</v>
      </c>
      <c r="E183" s="24" t="str">
        <f aca="false">IFERROR(VLOOKUP(B183,'Product Master'!$A:$D,4,0),"")</f>
        <v>Other</v>
      </c>
      <c r="F183" s="15"/>
      <c r="G183" s="16" t="s">
        <v>15</v>
      </c>
      <c r="H183" s="16" t="s">
        <v>15</v>
      </c>
      <c r="I183" s="16" t="s">
        <v>15</v>
      </c>
      <c r="J183" s="16" t="s">
        <v>15</v>
      </c>
      <c r="K183" s="16" t="s">
        <v>15</v>
      </c>
      <c r="L183" s="16" t="s">
        <v>15</v>
      </c>
      <c r="M183" s="16" t="s">
        <v>15</v>
      </c>
      <c r="N183" s="1" t="s">
        <v>274</v>
      </c>
    </row>
    <row r="184" customFormat="false" ht="15" hidden="false" customHeight="true" outlineLevel="0" collapsed="false">
      <c r="A184" s="17" t="str">
        <f aca="false">IFERROR(VLOOKUP(B184,'Product Master'!$A:$C,3,0),"")</f>
        <v>URBANI TRUFFLE</v>
      </c>
      <c r="B184" s="18" t="s">
        <v>275</v>
      </c>
      <c r="C184" s="19" t="str">
        <f aca="false">IFERROR(VLOOKUP(B184,'Product Master'!$A:$B,2,0),"")</f>
        <v>TRUFFLES, BLACK SUMMER SMALL (UP TO 15G) FRESH [URBANI]</v>
      </c>
      <c r="D184" s="20" t="str">
        <f aca="false">IFERROR(VLOOKUP(B184,'Product Master'!$A:$E,5,0),"")</f>
        <v>GR</v>
      </c>
      <c r="E184" s="24" t="str">
        <f aca="false">IFERROR(VLOOKUP(B184,'Product Master'!$A:$D,4,0),"")</f>
        <v>Other</v>
      </c>
      <c r="F184" s="21"/>
      <c r="G184" s="22" t="s">
        <v>15</v>
      </c>
      <c r="H184" s="22" t="s">
        <v>15</v>
      </c>
      <c r="I184" s="22" t="s">
        <v>15</v>
      </c>
      <c r="J184" s="22" t="s">
        <v>15</v>
      </c>
      <c r="K184" s="22" t="s">
        <v>15</v>
      </c>
      <c r="L184" s="22" t="s">
        <v>15</v>
      </c>
      <c r="M184" s="22" t="s">
        <v>15</v>
      </c>
      <c r="N184" s="1" t="s">
        <v>251</v>
      </c>
    </row>
    <row r="185" customFormat="false" ht="12.75" hidden="false" customHeight="true" outlineLevel="0" collapsed="false">
      <c r="A185" s="25" t="s">
        <v>24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1" t="s">
        <v>13</v>
      </c>
    </row>
    <row r="186" customFormat="false" ht="15" hidden="false" customHeight="true" outlineLevel="0" collapsed="false">
      <c r="A186" s="10" t="str">
        <f aca="false">IFERROR(VLOOKUP(B186,'Product Master'!$A:$C,3,0),"")</f>
        <v>BALDOR</v>
      </c>
      <c r="B186" s="11" t="s">
        <v>276</v>
      </c>
      <c r="C186" s="12" t="str">
        <f aca="false">IFERROR(VLOOKUP(B186,'Product Master'!$A:$B,2,0),"")</f>
        <v>EGGS, EXTRA LARGE AA</v>
      </c>
      <c r="D186" s="13" t="str">
        <f aca="false">IFERROR(VLOOKUP(B186,'Product Master'!$A:$E,5,0),"")</f>
        <v>CA180</v>
      </c>
      <c r="E186" s="26" t="str">
        <f aca="false">IFERROR(VLOOKUP(B186,'Product Master'!$A:$D,4,0),"")</f>
        <v>Produce - Herbs</v>
      </c>
      <c r="F186" s="15"/>
      <c r="G186" s="16" t="s">
        <v>15</v>
      </c>
      <c r="H186" s="16" t="s">
        <v>15</v>
      </c>
      <c r="I186" s="16" t="s">
        <v>15</v>
      </c>
      <c r="J186" s="16" t="s">
        <v>15</v>
      </c>
      <c r="K186" s="16" t="s">
        <v>15</v>
      </c>
      <c r="L186" s="16" t="s">
        <v>15</v>
      </c>
      <c r="M186" s="16" t="s">
        <v>15</v>
      </c>
      <c r="N186" s="1" t="s">
        <v>277</v>
      </c>
    </row>
    <row r="187" customFormat="false" ht="12.75" hidden="false" customHeight="true" outlineLevel="0" collapsed="false">
      <c r="A187" s="27" t="s">
        <v>31</v>
      </c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1" t="s">
        <v>13</v>
      </c>
    </row>
    <row r="188" customFormat="false" ht="15" hidden="false" customHeight="true" outlineLevel="0" collapsed="false">
      <c r="A188" s="10" t="str">
        <f aca="false">IFERROR(VLOOKUP(B188,'Product Master'!$A:$C,3,0),"")</f>
        <v>BALDOR</v>
      </c>
      <c r="B188" s="11" t="s">
        <v>278</v>
      </c>
      <c r="C188" s="12" t="str">
        <f aca="false">IFERROR(VLOOKUP(B188,'Product Master'!$A:$B,2,0),"")</f>
        <v>BASIL, LOOSE</v>
      </c>
      <c r="D188" s="13" t="str">
        <f aca="false">IFERROR(VLOOKUP(B188,'Product Master'!$A:$E,5,0),"")</f>
        <v>lb</v>
      </c>
      <c r="E188" s="28" t="str">
        <f aca="false">IFERROR(VLOOKUP(B188,'Product Master'!$A:$D,4,0),"")</f>
        <v>Produce - Veg &amp; Fruit</v>
      </c>
      <c r="F188" s="15"/>
      <c r="G188" s="16" t="s">
        <v>15</v>
      </c>
      <c r="H188" s="16" t="s">
        <v>15</v>
      </c>
      <c r="I188" s="16" t="s">
        <v>15</v>
      </c>
      <c r="J188" s="16" t="s">
        <v>15</v>
      </c>
      <c r="K188" s="16" t="s">
        <v>15</v>
      </c>
      <c r="L188" s="16" t="s">
        <v>15</v>
      </c>
      <c r="M188" s="16" t="s">
        <v>15</v>
      </c>
      <c r="N188" s="1" t="s">
        <v>279</v>
      </c>
    </row>
    <row r="189" customFormat="false" ht="15" hidden="false" customHeight="true" outlineLevel="0" collapsed="false">
      <c r="A189" s="17" t="str">
        <f aca="false">IFERROR(VLOOKUP(B189,'Product Master'!$A:$C,3,0),"")</f>
        <v>BALDOR</v>
      </c>
      <c r="B189" s="18" t="s">
        <v>280</v>
      </c>
      <c r="C189" s="19" t="str">
        <f aca="false">IFERROR(VLOOKUP(B189,'Product Master'!$A:$B,2,0),"")</f>
        <v>BAY LEAVES, FRESH</v>
      </c>
      <c r="D189" s="20" t="str">
        <f aca="false">IFERROR(VLOOKUP(B189,'Product Master'!$A:$E,5,0),"")</f>
        <v>CA1</v>
      </c>
      <c r="E189" s="28" t="str">
        <f aca="false">IFERROR(VLOOKUP(B189,'Product Master'!$A:$D,4,0),"")</f>
        <v>Produce - Veg &amp; Fruit</v>
      </c>
      <c r="F189" s="21"/>
      <c r="G189" s="22" t="s">
        <v>15</v>
      </c>
      <c r="H189" s="22" t="s">
        <v>15</v>
      </c>
      <c r="I189" s="22" t="s">
        <v>15</v>
      </c>
      <c r="J189" s="22" t="s">
        <v>15</v>
      </c>
      <c r="K189" s="22" t="s">
        <v>15</v>
      </c>
      <c r="L189" s="22" t="s">
        <v>15</v>
      </c>
      <c r="M189" s="22" t="s">
        <v>15</v>
      </c>
      <c r="N189" s="1" t="s">
        <v>281</v>
      </c>
    </row>
    <row r="190" customFormat="false" ht="15" hidden="false" customHeight="true" outlineLevel="0" collapsed="false">
      <c r="A190" s="10" t="str">
        <f aca="false">IFERROR(VLOOKUP(B190,'Product Master'!$A:$C,3,0),"")</f>
        <v>BALDOR</v>
      </c>
      <c r="B190" s="11" t="s">
        <v>282</v>
      </c>
      <c r="C190" s="12" t="str">
        <f aca="false">IFERROR(VLOOKUP(B190,'Product Master'!$A:$B,2,0),"")</f>
        <v>CAULIFLOWER, ROMANESCO</v>
      </c>
      <c r="D190" s="13" t="str">
        <f aca="false">IFERROR(VLOOKUP(B190,'Product Master'!$A:$E,5,0),"")</f>
        <v>CA12</v>
      </c>
      <c r="E190" s="28" t="str">
        <f aca="false">IFERROR(VLOOKUP(B190,'Product Master'!$A:$D,4,0),"")</f>
        <v>Produce - Veg &amp; Fruit</v>
      </c>
      <c r="F190" s="15"/>
      <c r="G190" s="16" t="s">
        <v>15</v>
      </c>
      <c r="H190" s="16" t="s">
        <v>15</v>
      </c>
      <c r="I190" s="16" t="s">
        <v>15</v>
      </c>
      <c r="J190" s="16" t="s">
        <v>15</v>
      </c>
      <c r="K190" s="16" t="s">
        <v>15</v>
      </c>
      <c r="L190" s="16" t="s">
        <v>15</v>
      </c>
      <c r="M190" s="16" t="s">
        <v>15</v>
      </c>
      <c r="N190" s="1" t="s">
        <v>283</v>
      </c>
    </row>
    <row r="191" customFormat="false" ht="15" hidden="false" customHeight="true" outlineLevel="0" collapsed="false">
      <c r="A191" s="17" t="str">
        <f aca="false">IFERROR(VLOOKUP(B191,'Product Master'!$A:$C,3,0),"")</f>
        <v>NO VENDOR</v>
      </c>
      <c r="B191" s="18" t="s">
        <v>284</v>
      </c>
      <c r="C191" s="19" t="str">
        <f aca="false">IFERROR(VLOOKUP(B191,'Product Master'!$A:$B,2,0),"")</f>
        <v>WATER, FOR RECIPES ONLY</v>
      </c>
      <c r="D191" s="20" t="str">
        <f aca="false">IFERROR(VLOOKUP(B191,'Product Master'!$A:$E,5,0),"")</f>
        <v>ML</v>
      </c>
      <c r="E191" s="28" t="str">
        <f aca="false">IFERROR(VLOOKUP(B191,'Product Master'!$A:$D,4,0),"")</f>
        <v>Produce - Veg &amp; Fruit</v>
      </c>
      <c r="F191" s="21"/>
      <c r="G191" s="22" t="s">
        <v>15</v>
      </c>
      <c r="H191" s="22" t="s">
        <v>15</v>
      </c>
      <c r="I191" s="22" t="s">
        <v>15</v>
      </c>
      <c r="J191" s="22" t="s">
        <v>15</v>
      </c>
      <c r="K191" s="22" t="s">
        <v>15</v>
      </c>
      <c r="L191" s="22" t="s">
        <v>15</v>
      </c>
      <c r="M191" s="22" t="s">
        <v>15</v>
      </c>
      <c r="N191" s="1" t="s">
        <v>285</v>
      </c>
    </row>
    <row r="192" customFormat="false" ht="19.5" hidden="false" customHeight="true" outlineLevel="0" collapsed="false">
      <c r="A192" s="58" t="s">
        <v>243</v>
      </c>
      <c r="B192" s="58"/>
      <c r="C192" s="59" t="s">
        <v>244</v>
      </c>
      <c r="D192" s="59"/>
      <c r="E192" s="59"/>
      <c r="F192" s="60"/>
      <c r="G192" s="60"/>
      <c r="H192" s="60"/>
      <c r="I192" s="60"/>
      <c r="J192" s="60"/>
      <c r="K192" s="60"/>
      <c r="L192" s="60"/>
      <c r="M192" s="60"/>
      <c r="N192" s="1" t="s">
        <v>11</v>
      </c>
    </row>
    <row r="193" customFormat="false" ht="12.75" hidden="false" customHeight="true" outlineLevel="0" collapsed="false">
      <c r="A193" s="32" t="s">
        <v>101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1" t="s">
        <v>13</v>
      </c>
    </row>
    <row r="194" customFormat="false" ht="15" hidden="false" customHeight="true" outlineLevel="0" collapsed="false">
      <c r="A194" s="10" t="str">
        <f aca="false">IFERROR(VLOOKUP(B194,'Product Master'!$A:$C,3,0),"")</f>
        <v>CHEFS WAREHOUSE</v>
      </c>
      <c r="B194" s="11" t="s">
        <v>245</v>
      </c>
      <c r="C194" s="12" t="str">
        <f aca="false">IFERROR(VLOOKUP(B194,'Product Master'!$A:$B,2,0),"")</f>
        <v>80% UNSALTED BUTTER 1LB</v>
      </c>
      <c r="D194" s="13" t="str">
        <f aca="false">IFERROR(VLOOKUP(B194,'Product Master'!$A:$E,5,0),"")</f>
        <v>CA30</v>
      </c>
      <c r="E194" s="33" t="str">
        <f aca="false">IFERROR(VLOOKUP(B194,'Product Master'!$A:$D,4,0),"")</f>
        <v>Dairy &amp; Eggs</v>
      </c>
      <c r="F194" s="15"/>
      <c r="G194" s="16" t="s">
        <v>15</v>
      </c>
      <c r="H194" s="16" t="s">
        <v>15</v>
      </c>
      <c r="I194" s="16" t="s">
        <v>15</v>
      </c>
      <c r="J194" s="16" t="s">
        <v>15</v>
      </c>
      <c r="K194" s="16" t="s">
        <v>15</v>
      </c>
      <c r="L194" s="16" t="s">
        <v>15</v>
      </c>
      <c r="M194" s="16" t="s">
        <v>15</v>
      </c>
      <c r="N194" s="1" t="s">
        <v>72</v>
      </c>
    </row>
    <row r="195" customFormat="false" ht="12.75" hidden="false" customHeight="true" outlineLevel="0" collapsed="false">
      <c r="A195" s="9" t="s">
        <v>12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" t="s">
        <v>13</v>
      </c>
    </row>
    <row r="196" customFormat="false" ht="15" hidden="false" customHeight="true" outlineLevel="0" collapsed="false">
      <c r="A196" s="10" t="str">
        <f aca="false">IFERROR(VLOOKUP(B196,'Product Master'!$A:$C,3,0),"")</f>
        <v>NO VENDOR</v>
      </c>
      <c r="B196" s="11" t="s">
        <v>246</v>
      </c>
      <c r="C196" s="12" t="str">
        <f aca="false">IFERROR(VLOOKUP(B196,'Product Master'!$A:$B,2,0),"")</f>
        <v>OIL, MUSTARD</v>
      </c>
      <c r="D196" s="13" t="str">
        <f aca="false">IFERROR(VLOOKUP(B196,'Product Master'!$A:$E,5,0),"")</f>
        <v>CA12</v>
      </c>
      <c r="E196" s="14" t="str">
        <f aca="false">IFERROR(VLOOKUP(B196,'Product Master'!$A:$D,4,0),"")</f>
        <v>Dry Goods &amp; Pantry</v>
      </c>
      <c r="F196" s="15"/>
      <c r="G196" s="16" t="s">
        <v>15</v>
      </c>
      <c r="H196" s="16" t="s">
        <v>15</v>
      </c>
      <c r="I196" s="16" t="s">
        <v>15</v>
      </c>
      <c r="J196" s="16" t="s">
        <v>15</v>
      </c>
      <c r="K196" s="16" t="s">
        <v>15</v>
      </c>
      <c r="L196" s="16" t="s">
        <v>15</v>
      </c>
      <c r="M196" s="16" t="s">
        <v>15</v>
      </c>
      <c r="N196" s="1" t="s">
        <v>54</v>
      </c>
    </row>
    <row r="197" customFormat="false" ht="15" hidden="false" customHeight="true" outlineLevel="0" collapsed="false">
      <c r="A197" s="17" t="str">
        <f aca="false">IFERROR(VLOOKUP(B197,'Product Master'!$A:$C,3,0),"")</f>
        <v>CHEFS WAREHOUSE</v>
      </c>
      <c r="B197" s="18" t="s">
        <v>247</v>
      </c>
      <c r="C197" s="19" t="str">
        <f aca="false">IFERROR(VLOOKUP(B197,'Product Master'!$A:$B,2,0),"")</f>
        <v>PEPPER, RED CRUSHED</v>
      </c>
      <c r="D197" s="20" t="str">
        <f aca="false">IFERROR(VLOOKUP(B197,'Product Master'!$A:$E,5,0),"")</f>
        <v>CA1</v>
      </c>
      <c r="E197" s="14" t="str">
        <f aca="false">IFERROR(VLOOKUP(B197,'Product Master'!$A:$D,4,0),"")</f>
        <v>Dry Goods &amp; Pantry</v>
      </c>
      <c r="F197" s="21"/>
      <c r="G197" s="22" t="s">
        <v>15</v>
      </c>
      <c r="H197" s="22" t="s">
        <v>15</v>
      </c>
      <c r="I197" s="22" t="s">
        <v>15</v>
      </c>
      <c r="J197" s="22" t="s">
        <v>15</v>
      </c>
      <c r="K197" s="22" t="s">
        <v>15</v>
      </c>
      <c r="L197" s="22" t="s">
        <v>15</v>
      </c>
      <c r="M197" s="22" t="s">
        <v>15</v>
      </c>
      <c r="N197" s="1" t="s">
        <v>248</v>
      </c>
    </row>
    <row r="198" customFormat="false" ht="12.75" hidden="false" customHeight="true" outlineLevel="0" collapsed="false">
      <c r="A198" s="23" t="s">
        <v>19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1" t="s">
        <v>13</v>
      </c>
    </row>
    <row r="199" customFormat="false" ht="15" hidden="false" customHeight="true" outlineLevel="0" collapsed="false">
      <c r="A199" s="10" t="str">
        <f aca="false">IFERROR(VLOOKUP(B199,'Product Master'!$A:$C,3,0),"")</f>
        <v>NO VENDOR</v>
      </c>
      <c r="B199" s="11" t="s">
        <v>249</v>
      </c>
      <c r="C199" s="12" t="str">
        <f aca="false">IFERROR(VLOOKUP(B199,'Product Master'!$A:$B,2,0),"")</f>
        <v>BRANDY, BLANSAC</v>
      </c>
      <c r="D199" s="13" t="str">
        <f aca="false">IFERROR(VLOOKUP(B199,'Product Master'!$A:$E,5,0),"")</f>
        <v>ea</v>
      </c>
      <c r="E199" s="24" t="str">
        <f aca="false">IFERROR(VLOOKUP(B199,'Product Master'!$A:$D,4,0),"")</f>
        <v>Other</v>
      </c>
      <c r="F199" s="15"/>
      <c r="G199" s="16" t="s">
        <v>15</v>
      </c>
      <c r="H199" s="16" t="s">
        <v>15</v>
      </c>
      <c r="I199" s="16" t="s">
        <v>15</v>
      </c>
      <c r="J199" s="16" t="s">
        <v>15</v>
      </c>
      <c r="K199" s="16" t="s">
        <v>15</v>
      </c>
      <c r="L199" s="16" t="s">
        <v>15</v>
      </c>
      <c r="M199" s="16" t="s">
        <v>15</v>
      </c>
      <c r="N199" s="1" t="s">
        <v>93</v>
      </c>
    </row>
    <row r="200" customFormat="false" ht="15" hidden="false" customHeight="true" outlineLevel="0" collapsed="false">
      <c r="A200" s="17" t="str">
        <f aca="false">IFERROR(VLOOKUP(B200,'Product Master'!$A:$C,3,0),"")</f>
        <v>URBANI TRUFFLE</v>
      </c>
      <c r="B200" s="18" t="s">
        <v>250</v>
      </c>
      <c r="C200" s="19" t="str">
        <f aca="false">IFERROR(VLOOKUP(B200,'Product Master'!$A:$B,2,0),"")</f>
        <v>BUTTER, BLACK TRUFFLE 16oz (URBANI)</v>
      </c>
      <c r="D200" s="20" t="str">
        <f aca="false">IFERROR(VLOOKUP(B200,'Product Master'!$A:$E,5,0),"")</f>
        <v>ea</v>
      </c>
      <c r="E200" s="24" t="str">
        <f aca="false">IFERROR(VLOOKUP(B200,'Product Master'!$A:$D,4,0),"")</f>
        <v>Other</v>
      </c>
      <c r="F200" s="21"/>
      <c r="G200" s="22" t="s">
        <v>15</v>
      </c>
      <c r="H200" s="22" t="s">
        <v>15</v>
      </c>
      <c r="I200" s="22" t="s">
        <v>15</v>
      </c>
      <c r="J200" s="22" t="s">
        <v>15</v>
      </c>
      <c r="K200" s="22" t="s">
        <v>15</v>
      </c>
      <c r="L200" s="22" t="s">
        <v>15</v>
      </c>
      <c r="M200" s="22" t="s">
        <v>15</v>
      </c>
      <c r="N200" s="1" t="s">
        <v>251</v>
      </c>
    </row>
    <row r="201" customFormat="false" ht="15" hidden="false" customHeight="true" outlineLevel="0" collapsed="false">
      <c r="A201" s="10" t="str">
        <f aca="false">IFERROR(VLOOKUP(B201,'Product Master'!$A:$C,3,0),"")</f>
        <v>GOURMET FOODS INT</v>
      </c>
      <c r="B201" s="11" t="s">
        <v>252</v>
      </c>
      <c r="C201" s="12" t="str">
        <f aca="false">IFERROR(VLOOKUP(B201,'Product Master'!$A:$B,2,0),"")</f>
        <v>COPPA, DOP (I PIACENTINI)</v>
      </c>
      <c r="D201" s="13" t="str">
        <f aca="false">IFERROR(VLOOKUP(B201,'Product Master'!$A:$E,5,0),"")</f>
        <v>ea</v>
      </c>
      <c r="E201" s="24" t="str">
        <f aca="false">IFERROR(VLOOKUP(B201,'Product Master'!$A:$D,4,0),"")</f>
        <v>Other</v>
      </c>
      <c r="F201" s="15"/>
      <c r="G201" s="16" t="s">
        <v>15</v>
      </c>
      <c r="H201" s="16" t="s">
        <v>15</v>
      </c>
      <c r="I201" s="16" t="s">
        <v>15</v>
      </c>
      <c r="J201" s="16" t="s">
        <v>15</v>
      </c>
      <c r="K201" s="16" t="s">
        <v>15</v>
      </c>
      <c r="L201" s="16" t="s">
        <v>15</v>
      </c>
      <c r="M201" s="16" t="s">
        <v>15</v>
      </c>
      <c r="N201" s="1" t="s">
        <v>54</v>
      </c>
    </row>
    <row r="202" customFormat="false" ht="15" hidden="false" customHeight="true" outlineLevel="0" collapsed="false">
      <c r="A202" s="17" t="str">
        <f aca="false">IFERROR(VLOOKUP(B202,'Product Master'!$A:$C,3,0),"")</f>
        <v>NO VENDOR</v>
      </c>
      <c r="B202" s="18" t="s">
        <v>253</v>
      </c>
      <c r="C202" s="19" t="str">
        <f aca="false">IFERROR(VLOOKUP(B202,'Product Master'!$A:$B,2,0),"")</f>
        <v>MALT, DIASTATIC POWDER</v>
      </c>
      <c r="D202" s="20" t="str">
        <f aca="false">IFERROR(VLOOKUP(B202,'Product Master'!$A:$E,5,0),"")</f>
        <v>CA1</v>
      </c>
      <c r="E202" s="24" t="str">
        <f aca="false">IFERROR(VLOOKUP(B202,'Product Master'!$A:$D,4,0),"")</f>
        <v>Other</v>
      </c>
      <c r="F202" s="21"/>
      <c r="G202" s="22" t="s">
        <v>15</v>
      </c>
      <c r="H202" s="22" t="s">
        <v>15</v>
      </c>
      <c r="I202" s="22" t="s">
        <v>15</v>
      </c>
      <c r="J202" s="22" t="s">
        <v>15</v>
      </c>
      <c r="K202" s="22" t="s">
        <v>15</v>
      </c>
      <c r="L202" s="22" t="s">
        <v>15</v>
      </c>
      <c r="M202" s="22" t="s">
        <v>15</v>
      </c>
      <c r="N202" s="1" t="s">
        <v>254</v>
      </c>
    </row>
    <row r="203" customFormat="false" ht="15" hidden="false" customHeight="true" outlineLevel="0" collapsed="false">
      <c r="A203" s="10" t="str">
        <f aca="false">IFERROR(VLOOKUP(B203,'Product Master'!$A:$C,3,0),"")</f>
        <v>NO VENDOR</v>
      </c>
      <c r="B203" s="11" t="s">
        <v>255</v>
      </c>
      <c r="C203" s="12" t="str">
        <f aca="false">IFERROR(VLOOKUP(B203,'Product Master'!$A:$B,2,0),"")</f>
        <v>MONTEPULCIANO D'ABRUZZO, DONNA GIULIANA</v>
      </c>
      <c r="D203" s="13" t="str">
        <f aca="false">IFERROR(VLOOKUP(B203,'Product Master'!$A:$E,5,0),"")</f>
        <v>ea</v>
      </c>
      <c r="E203" s="24" t="str">
        <f aca="false">IFERROR(VLOOKUP(B203,'Product Master'!$A:$D,4,0),"")</f>
        <v>Other</v>
      </c>
      <c r="F203" s="15"/>
      <c r="G203" s="16" t="s">
        <v>15</v>
      </c>
      <c r="H203" s="16" t="s">
        <v>15</v>
      </c>
      <c r="I203" s="16" t="s">
        <v>15</v>
      </c>
      <c r="J203" s="16" t="s">
        <v>15</v>
      </c>
      <c r="K203" s="16" t="s">
        <v>15</v>
      </c>
      <c r="L203" s="16" t="s">
        <v>15</v>
      </c>
      <c r="M203" s="16" t="s">
        <v>15</v>
      </c>
      <c r="N203" s="1" t="s">
        <v>39</v>
      </c>
    </row>
    <row r="204" customFormat="false" ht="15" hidden="false" customHeight="true" outlineLevel="0" collapsed="false">
      <c r="A204" s="17" t="str">
        <f aca="false">IFERROR(VLOOKUP(B204,'Product Master'!$A:$C,3,0),"")</f>
        <v>BALDOR</v>
      </c>
      <c r="B204" s="18" t="s">
        <v>256</v>
      </c>
      <c r="C204" s="19" t="str">
        <f aca="false">IFERROR(VLOOKUP(B204,'Product Master'!$A:$B,2,0),"")</f>
        <v>MUSHROOM PORTOBELLO, JUMBO</v>
      </c>
      <c r="D204" s="20" t="str">
        <f aca="false">IFERROR(VLOOKUP(B204,'Product Master'!$A:$E,5,0),"")</f>
        <v>ea</v>
      </c>
      <c r="E204" s="24" t="str">
        <f aca="false">IFERROR(VLOOKUP(B204,'Product Master'!$A:$D,4,0),"")</f>
        <v>Other</v>
      </c>
      <c r="F204" s="21"/>
      <c r="G204" s="22" t="s">
        <v>15</v>
      </c>
      <c r="H204" s="22" t="s">
        <v>15</v>
      </c>
      <c r="I204" s="22" t="s">
        <v>15</v>
      </c>
      <c r="J204" s="22" t="s">
        <v>15</v>
      </c>
      <c r="K204" s="22" t="s">
        <v>15</v>
      </c>
      <c r="L204" s="22" t="s">
        <v>15</v>
      </c>
      <c r="M204" s="22" t="s">
        <v>15</v>
      </c>
      <c r="N204" s="1" t="s">
        <v>44</v>
      </c>
    </row>
    <row r="205" customFormat="false" ht="15" hidden="false" customHeight="true" outlineLevel="0" collapsed="false">
      <c r="A205" s="10" t="str">
        <f aca="false">IFERROR(VLOOKUP(B205,'Product Master'!$A:$C,3,0),"")</f>
        <v>BALDOR</v>
      </c>
      <c r="B205" s="11" t="s">
        <v>257</v>
      </c>
      <c r="C205" s="12" t="str">
        <f aca="false">IFERROR(VLOOKUP(B205,'Product Master'!$A:$B,2,0),"")</f>
        <v>MUSHROOM, SHIITAKE EXTRA LARGE</v>
      </c>
      <c r="D205" s="13" t="str">
        <f aca="false">IFERROR(VLOOKUP(B205,'Product Master'!$A:$E,5,0),"")</f>
        <v>ea</v>
      </c>
      <c r="E205" s="24" t="str">
        <f aca="false">IFERROR(VLOOKUP(B205,'Product Master'!$A:$D,4,0),"")</f>
        <v>Other</v>
      </c>
      <c r="F205" s="15"/>
      <c r="G205" s="16" t="s">
        <v>15</v>
      </c>
      <c r="H205" s="16" t="s">
        <v>15</v>
      </c>
      <c r="I205" s="16" t="s">
        <v>15</v>
      </c>
      <c r="J205" s="16" t="s">
        <v>15</v>
      </c>
      <c r="K205" s="16" t="s">
        <v>15</v>
      </c>
      <c r="L205" s="16" t="s">
        <v>15</v>
      </c>
      <c r="M205" s="16" t="s">
        <v>15</v>
      </c>
      <c r="N205" s="1" t="s">
        <v>44</v>
      </c>
    </row>
    <row r="206" customFormat="false" ht="15" hidden="false" customHeight="true" outlineLevel="0" collapsed="false">
      <c r="A206" s="17" t="str">
        <f aca="false">IFERROR(VLOOKUP(B206,'Product Master'!$A:$C,3,0),"")</f>
        <v>BETA IMPORTS</v>
      </c>
      <c r="B206" s="18" t="s">
        <v>258</v>
      </c>
      <c r="C206" s="19" t="str">
        <f aca="false">IFERROR(VLOOKUP(B206,'Product Master'!$A:$B,2,0),"")</f>
        <v>OLIVE OIL, EUROPEAN BLEND 5L (OLITALIA)</v>
      </c>
      <c r="D206" s="20" t="str">
        <f aca="false">IFERROR(VLOOKUP(B206,'Product Master'!$A:$E,5,0),"")</f>
        <v>ea</v>
      </c>
      <c r="E206" s="24" t="str">
        <f aca="false">IFERROR(VLOOKUP(B206,'Product Master'!$A:$D,4,0),"")</f>
        <v>Other</v>
      </c>
      <c r="F206" s="21"/>
      <c r="G206" s="22" t="s">
        <v>15</v>
      </c>
      <c r="H206" s="22" t="s">
        <v>15</v>
      </c>
      <c r="I206" s="22" t="s">
        <v>15</v>
      </c>
      <c r="J206" s="22" t="s">
        <v>15</v>
      </c>
      <c r="K206" s="22" t="s">
        <v>15</v>
      </c>
      <c r="L206" s="22" t="s">
        <v>15</v>
      </c>
      <c r="M206" s="22" t="s">
        <v>15</v>
      </c>
      <c r="N206" s="1" t="s">
        <v>259</v>
      </c>
    </row>
    <row r="207" customFormat="false" ht="15" hidden="false" customHeight="true" outlineLevel="0" collapsed="false">
      <c r="A207" s="10" t="str">
        <f aca="false">IFERROR(VLOOKUP(B207,'Product Master'!$A:$C,3,0),"")</f>
        <v>BETA IMPORTS</v>
      </c>
      <c r="B207" s="11" t="s">
        <v>260</v>
      </c>
      <c r="C207" s="12" t="str">
        <f aca="false">IFERROR(VLOOKUP(B207,'Product Master'!$A:$B,2,0),"")</f>
        <v>OLIVE OIL, EXTRA VIRGIN BOERI 169.1oz (ROI)</v>
      </c>
      <c r="D207" s="13" t="str">
        <f aca="false">IFERROR(VLOOKUP(B207,'Product Master'!$A:$E,5,0),"")</f>
        <v>ea</v>
      </c>
      <c r="E207" s="24" t="str">
        <f aca="false">IFERROR(VLOOKUP(B207,'Product Master'!$A:$D,4,0),"")</f>
        <v>Other</v>
      </c>
      <c r="F207" s="15"/>
      <c r="G207" s="16" t="s">
        <v>15</v>
      </c>
      <c r="H207" s="16" t="s">
        <v>15</v>
      </c>
      <c r="I207" s="16" t="s">
        <v>15</v>
      </c>
      <c r="J207" s="16" t="s">
        <v>15</v>
      </c>
      <c r="K207" s="16" t="s">
        <v>15</v>
      </c>
      <c r="L207" s="16" t="s">
        <v>15</v>
      </c>
      <c r="M207" s="16" t="s">
        <v>15</v>
      </c>
      <c r="N207" s="1" t="s">
        <v>261</v>
      </c>
    </row>
    <row r="208" customFormat="false" ht="15" hidden="false" customHeight="true" outlineLevel="0" collapsed="false">
      <c r="A208" s="17" t="str">
        <f aca="false">IFERROR(VLOOKUP(B208,'Product Master'!$A:$C,3,0),"")</f>
        <v>BALDOR</v>
      </c>
      <c r="B208" s="18" t="s">
        <v>262</v>
      </c>
      <c r="C208" s="19" t="str">
        <f aca="false">IFERROR(VLOOKUP(B208,'Product Master'!$A:$B,2,0),"")</f>
        <v>ONION RED DICE 1/4"</v>
      </c>
      <c r="D208" s="20" t="str">
        <f aca="false">IFERROR(VLOOKUP(B208,'Product Master'!$A:$E,5,0),"")</f>
        <v>ea</v>
      </c>
      <c r="E208" s="24" t="str">
        <f aca="false">IFERROR(VLOOKUP(B208,'Product Master'!$A:$D,4,0),"")</f>
        <v>Other</v>
      </c>
      <c r="F208" s="21"/>
      <c r="G208" s="22" t="s">
        <v>15</v>
      </c>
      <c r="H208" s="22" t="s">
        <v>15</v>
      </c>
      <c r="I208" s="22" t="s">
        <v>15</v>
      </c>
      <c r="J208" s="22" t="s">
        <v>15</v>
      </c>
      <c r="K208" s="22" t="s">
        <v>15</v>
      </c>
      <c r="L208" s="22" t="s">
        <v>15</v>
      </c>
      <c r="M208" s="22" t="s">
        <v>15</v>
      </c>
      <c r="N208" s="1" t="s">
        <v>263</v>
      </c>
    </row>
    <row r="209" customFormat="false" ht="15" hidden="false" customHeight="true" outlineLevel="0" collapsed="false">
      <c r="A209" s="10" t="str">
        <f aca="false">IFERROR(VLOOKUP(B209,'Product Master'!$A:$C,3,0),"")</f>
        <v>BALDOR</v>
      </c>
      <c r="B209" s="11" t="s">
        <v>264</v>
      </c>
      <c r="C209" s="12" t="str">
        <f aca="false">IFERROR(VLOOKUP(B209,'Product Master'!$A:$B,2,0),"")</f>
        <v>ONION, SHALLOTS PEELED</v>
      </c>
      <c r="D209" s="13" t="str">
        <f aca="false">IFERROR(VLOOKUP(B209,'Product Master'!$A:$E,5,0),"")</f>
        <v>ea</v>
      </c>
      <c r="E209" s="24" t="str">
        <f aca="false">IFERROR(VLOOKUP(B209,'Product Master'!$A:$D,4,0),"")</f>
        <v>Other</v>
      </c>
      <c r="F209" s="15"/>
      <c r="G209" s="16" t="s">
        <v>15</v>
      </c>
      <c r="H209" s="16" t="s">
        <v>15</v>
      </c>
      <c r="I209" s="16" t="s">
        <v>15</v>
      </c>
      <c r="J209" s="16" t="s">
        <v>15</v>
      </c>
      <c r="K209" s="16" t="s">
        <v>15</v>
      </c>
      <c r="L209" s="16" t="s">
        <v>15</v>
      </c>
      <c r="M209" s="16" t="s">
        <v>15</v>
      </c>
      <c r="N209" s="1" t="s">
        <v>265</v>
      </c>
    </row>
    <row r="210" customFormat="false" ht="15" hidden="false" customHeight="true" outlineLevel="0" collapsed="false">
      <c r="A210" s="17" t="str">
        <f aca="false">IFERROR(VLOOKUP(B210,'Product Master'!$A:$C,3,0),"")</f>
        <v>GOURMET FOODS INT</v>
      </c>
      <c r="B210" s="18" t="s">
        <v>266</v>
      </c>
      <c r="C210" s="19" t="str">
        <f aca="false">IFERROR(VLOOKUP(B210,'Product Master'!$A:$B,2,0),"")</f>
        <v>PANCETTA, DOP (I PIACENTINI)</v>
      </c>
      <c r="D210" s="20" t="str">
        <f aca="false">IFERROR(VLOOKUP(B210,'Product Master'!$A:$E,5,0),"")</f>
        <v>ea</v>
      </c>
      <c r="E210" s="24" t="str">
        <f aca="false">IFERROR(VLOOKUP(B210,'Product Master'!$A:$D,4,0),"")</f>
        <v>Other</v>
      </c>
      <c r="F210" s="21"/>
      <c r="G210" s="22" t="s">
        <v>15</v>
      </c>
      <c r="H210" s="22" t="s">
        <v>15</v>
      </c>
      <c r="I210" s="22" t="s">
        <v>15</v>
      </c>
      <c r="J210" s="22" t="s">
        <v>15</v>
      </c>
      <c r="K210" s="22" t="s">
        <v>15</v>
      </c>
      <c r="L210" s="22" t="s">
        <v>15</v>
      </c>
      <c r="M210" s="22" t="s">
        <v>15</v>
      </c>
      <c r="N210" s="1" t="s">
        <v>267</v>
      </c>
    </row>
    <row r="211" customFormat="false" ht="15" hidden="false" customHeight="true" outlineLevel="0" collapsed="false">
      <c r="A211" s="10" t="str">
        <f aca="false">IFERROR(VLOOKUP(B211,'Product Master'!$A:$C,3,0),"")</f>
        <v>BETA IMPORTS</v>
      </c>
      <c r="B211" s="11" t="s">
        <v>268</v>
      </c>
      <c r="C211" s="12" t="str">
        <f aca="false">IFERROR(VLOOKUP(B211,'Product Master'!$A:$B,2,0),"")</f>
        <v>PASTA, LINGUINI 35.3oz 1kg (AFELTRA)</v>
      </c>
      <c r="D211" s="13" t="str">
        <f aca="false">IFERROR(VLOOKUP(B211,'Product Master'!$A:$E,5,0),"")</f>
        <v>ea</v>
      </c>
      <c r="E211" s="24" t="str">
        <f aca="false">IFERROR(VLOOKUP(B211,'Product Master'!$A:$D,4,0),"")</f>
        <v>Other</v>
      </c>
      <c r="F211" s="15"/>
      <c r="G211" s="16" t="s">
        <v>15</v>
      </c>
      <c r="H211" s="16" t="s">
        <v>15</v>
      </c>
      <c r="I211" s="16" t="s">
        <v>15</v>
      </c>
      <c r="J211" s="16" t="s">
        <v>15</v>
      </c>
      <c r="K211" s="16" t="s">
        <v>15</v>
      </c>
      <c r="L211" s="16" t="s">
        <v>15</v>
      </c>
      <c r="M211" s="16" t="s">
        <v>15</v>
      </c>
      <c r="N211" s="1" t="s">
        <v>93</v>
      </c>
    </row>
    <row r="212" customFormat="false" ht="15" hidden="false" customHeight="true" outlineLevel="0" collapsed="false">
      <c r="A212" s="17" t="str">
        <f aca="false">IFERROR(VLOOKUP(B212,'Product Master'!$A:$C,3,0),"")</f>
        <v>BETA IMPORTS</v>
      </c>
      <c r="B212" s="18" t="s">
        <v>269</v>
      </c>
      <c r="C212" s="19" t="str">
        <f aca="false">IFERROR(VLOOKUP(B212,'Product Master'!$A:$B,2,0),"")</f>
        <v>PASTA, SPAGHETTI 35.3oz (AFELTRA)</v>
      </c>
      <c r="D212" s="20" t="str">
        <f aca="false">IFERROR(VLOOKUP(B212,'Product Master'!$A:$E,5,0),"")</f>
        <v>ea</v>
      </c>
      <c r="E212" s="24" t="str">
        <f aca="false">IFERROR(VLOOKUP(B212,'Product Master'!$A:$D,4,0),"")</f>
        <v>Other</v>
      </c>
      <c r="F212" s="21"/>
      <c r="G212" s="22" t="s">
        <v>15</v>
      </c>
      <c r="H212" s="22" t="s">
        <v>15</v>
      </c>
      <c r="I212" s="22" t="s">
        <v>15</v>
      </c>
      <c r="J212" s="22" t="s">
        <v>15</v>
      </c>
      <c r="K212" s="22" t="s">
        <v>15</v>
      </c>
      <c r="L212" s="22" t="s">
        <v>15</v>
      </c>
      <c r="M212" s="22" t="s">
        <v>15</v>
      </c>
      <c r="N212" s="1" t="s">
        <v>270</v>
      </c>
    </row>
    <row r="213" customFormat="false" ht="15" hidden="false" customHeight="true" outlineLevel="0" collapsed="false">
      <c r="A213" s="10" t="str">
        <f aca="false">IFERROR(VLOOKUP(B213,'Product Master'!$A:$C,3,0),"")</f>
        <v>BETA IMPORTS</v>
      </c>
      <c r="B213" s="11" t="s">
        <v>271</v>
      </c>
      <c r="C213" s="12" t="str">
        <f aca="false">IFERROR(VLOOKUP(B213,'Product Master'!$A:$B,2,0),"")</f>
        <v>RED DATTERINO, WITH JUICE 28.2oz 800gr (COSI COME) (F</v>
      </c>
      <c r="D213" s="13" t="str">
        <f aca="false">IFERROR(VLOOKUP(B213,'Product Master'!$A:$E,5,0),"")</f>
        <v>ea</v>
      </c>
      <c r="E213" s="24" t="str">
        <f aca="false">IFERROR(VLOOKUP(B213,'Product Master'!$A:$D,4,0),"")</f>
        <v>Other</v>
      </c>
      <c r="F213" s="15"/>
      <c r="G213" s="16" t="s">
        <v>15</v>
      </c>
      <c r="H213" s="16" t="s">
        <v>15</v>
      </c>
      <c r="I213" s="16" t="s">
        <v>15</v>
      </c>
      <c r="J213" s="16" t="s">
        <v>15</v>
      </c>
      <c r="K213" s="16" t="s">
        <v>15</v>
      </c>
      <c r="L213" s="16" t="s">
        <v>15</v>
      </c>
      <c r="M213" s="16" t="s">
        <v>15</v>
      </c>
      <c r="N213" s="1" t="s">
        <v>270</v>
      </c>
    </row>
    <row r="214" customFormat="false" ht="15" hidden="false" customHeight="true" outlineLevel="0" collapsed="false">
      <c r="A214" s="17" t="str">
        <f aca="false">IFERROR(VLOOKUP(B214,'Product Master'!$A:$C,3,0),"")</f>
        <v>BETA IMPORTS</v>
      </c>
      <c r="B214" s="18" t="s">
        <v>272</v>
      </c>
      <c r="C214" s="19" t="str">
        <f aca="false">IFERROR(VLOOKUP(B214,'Product Master'!$A:$B,2,0),"")</f>
        <v>SALT, SICILIAN COARSE 2.2lb (ELIKA)</v>
      </c>
      <c r="D214" s="20" t="str">
        <f aca="false">IFERROR(VLOOKUP(B214,'Product Master'!$A:$E,5,0),"")</f>
        <v>ea</v>
      </c>
      <c r="E214" s="24" t="str">
        <f aca="false">IFERROR(VLOOKUP(B214,'Product Master'!$A:$D,4,0),"")</f>
        <v>Other</v>
      </c>
      <c r="F214" s="21"/>
      <c r="G214" s="22" t="s">
        <v>15</v>
      </c>
      <c r="H214" s="22" t="s">
        <v>15</v>
      </c>
      <c r="I214" s="22" t="s">
        <v>15</v>
      </c>
      <c r="J214" s="22" t="s">
        <v>15</v>
      </c>
      <c r="K214" s="22" t="s">
        <v>15</v>
      </c>
      <c r="L214" s="22" t="s">
        <v>15</v>
      </c>
      <c r="M214" s="22" t="s">
        <v>15</v>
      </c>
      <c r="N214" s="1" t="s">
        <v>270</v>
      </c>
    </row>
    <row r="215" customFormat="false" ht="15" hidden="false" customHeight="true" outlineLevel="0" collapsed="false">
      <c r="A215" s="10" t="str">
        <f aca="false">IFERROR(VLOOKUP(B215,'Product Master'!$A:$C,3,0),"")</f>
        <v>CHEFS WAREHOUSE</v>
      </c>
      <c r="B215" s="11" t="s">
        <v>273</v>
      </c>
      <c r="C215" s="12" t="str">
        <f aca="false">IFERROR(VLOOKUP(B215,'Product Master'!$A:$B,2,0),"")</f>
        <v>Sea Salt Flakes</v>
      </c>
      <c r="D215" s="13" t="str">
        <f aca="false">IFERROR(VLOOKUP(B215,'Product Master'!$A:$E,5,0),"")</f>
        <v>ea</v>
      </c>
      <c r="E215" s="24" t="str">
        <f aca="false">IFERROR(VLOOKUP(B215,'Product Master'!$A:$D,4,0),"")</f>
        <v>Other</v>
      </c>
      <c r="F215" s="15"/>
      <c r="G215" s="16" t="s">
        <v>15</v>
      </c>
      <c r="H215" s="16" t="s">
        <v>15</v>
      </c>
      <c r="I215" s="16" t="s">
        <v>15</v>
      </c>
      <c r="J215" s="16" t="s">
        <v>15</v>
      </c>
      <c r="K215" s="16" t="s">
        <v>15</v>
      </c>
      <c r="L215" s="16" t="s">
        <v>15</v>
      </c>
      <c r="M215" s="16" t="s">
        <v>15</v>
      </c>
      <c r="N215" s="1" t="s">
        <v>274</v>
      </c>
    </row>
    <row r="216" customFormat="false" ht="15" hidden="false" customHeight="true" outlineLevel="0" collapsed="false">
      <c r="A216" s="17" t="str">
        <f aca="false">IFERROR(VLOOKUP(B216,'Product Master'!$A:$C,3,0),"")</f>
        <v>URBANI TRUFFLE</v>
      </c>
      <c r="B216" s="18" t="s">
        <v>275</v>
      </c>
      <c r="C216" s="19" t="str">
        <f aca="false">IFERROR(VLOOKUP(B216,'Product Master'!$A:$B,2,0),"")</f>
        <v>TRUFFLES, BLACK SUMMER SMALL (UP TO 15G) FRESH [URBANI]</v>
      </c>
      <c r="D216" s="20" t="str">
        <f aca="false">IFERROR(VLOOKUP(B216,'Product Master'!$A:$E,5,0),"")</f>
        <v>GR</v>
      </c>
      <c r="E216" s="24" t="str">
        <f aca="false">IFERROR(VLOOKUP(B216,'Product Master'!$A:$D,4,0),"")</f>
        <v>Other</v>
      </c>
      <c r="F216" s="21"/>
      <c r="G216" s="22" t="s">
        <v>15</v>
      </c>
      <c r="H216" s="22" t="s">
        <v>15</v>
      </c>
      <c r="I216" s="22" t="s">
        <v>15</v>
      </c>
      <c r="J216" s="22" t="s">
        <v>15</v>
      </c>
      <c r="K216" s="22" t="s">
        <v>15</v>
      </c>
      <c r="L216" s="22" t="s">
        <v>15</v>
      </c>
      <c r="M216" s="22" t="s">
        <v>15</v>
      </c>
      <c r="N216" s="1" t="s">
        <v>251</v>
      </c>
    </row>
    <row r="217" customFormat="false" ht="12.75" hidden="false" customHeight="true" outlineLevel="0" collapsed="false">
      <c r="A217" s="25" t="s">
        <v>24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1" t="s">
        <v>13</v>
      </c>
    </row>
    <row r="218" customFormat="false" ht="15" hidden="false" customHeight="true" outlineLevel="0" collapsed="false">
      <c r="A218" s="10" t="str">
        <f aca="false">IFERROR(VLOOKUP(B218,'Product Master'!$A:$C,3,0),"")</f>
        <v>BALDOR</v>
      </c>
      <c r="B218" s="11" t="s">
        <v>276</v>
      </c>
      <c r="C218" s="12" t="str">
        <f aca="false">IFERROR(VLOOKUP(B218,'Product Master'!$A:$B,2,0),"")</f>
        <v>EGGS, EXTRA LARGE AA</v>
      </c>
      <c r="D218" s="13" t="str">
        <f aca="false">IFERROR(VLOOKUP(B218,'Product Master'!$A:$E,5,0),"")</f>
        <v>CA180</v>
      </c>
      <c r="E218" s="26" t="str">
        <f aca="false">IFERROR(VLOOKUP(B218,'Product Master'!$A:$D,4,0),"")</f>
        <v>Produce - Herbs</v>
      </c>
      <c r="F218" s="15"/>
      <c r="G218" s="16" t="s">
        <v>15</v>
      </c>
      <c r="H218" s="16" t="s">
        <v>15</v>
      </c>
      <c r="I218" s="16" t="s">
        <v>15</v>
      </c>
      <c r="J218" s="16" t="s">
        <v>15</v>
      </c>
      <c r="K218" s="16" t="s">
        <v>15</v>
      </c>
      <c r="L218" s="16" t="s">
        <v>15</v>
      </c>
      <c r="M218" s="16" t="s">
        <v>15</v>
      </c>
      <c r="N218" s="1" t="s">
        <v>277</v>
      </c>
    </row>
    <row r="219" customFormat="false" ht="12.75" hidden="false" customHeight="true" outlineLevel="0" collapsed="false">
      <c r="A219" s="27" t="s">
        <v>31</v>
      </c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1" t="s">
        <v>13</v>
      </c>
    </row>
    <row r="220" customFormat="false" ht="15" hidden="false" customHeight="true" outlineLevel="0" collapsed="false">
      <c r="A220" s="10" t="str">
        <f aca="false">IFERROR(VLOOKUP(B220,'Product Master'!$A:$C,3,0),"")</f>
        <v>BALDOR</v>
      </c>
      <c r="B220" s="11" t="s">
        <v>278</v>
      </c>
      <c r="C220" s="12" t="str">
        <f aca="false">IFERROR(VLOOKUP(B220,'Product Master'!$A:$B,2,0),"")</f>
        <v>BASIL, LOOSE</v>
      </c>
      <c r="D220" s="13" t="str">
        <f aca="false">IFERROR(VLOOKUP(B220,'Product Master'!$A:$E,5,0),"")</f>
        <v>lb</v>
      </c>
      <c r="E220" s="28" t="str">
        <f aca="false">IFERROR(VLOOKUP(B220,'Product Master'!$A:$D,4,0),"")</f>
        <v>Produce - Veg &amp; Fruit</v>
      </c>
      <c r="F220" s="15"/>
      <c r="G220" s="16" t="s">
        <v>15</v>
      </c>
      <c r="H220" s="16" t="s">
        <v>15</v>
      </c>
      <c r="I220" s="16" t="s">
        <v>15</v>
      </c>
      <c r="J220" s="16" t="s">
        <v>15</v>
      </c>
      <c r="K220" s="16" t="s">
        <v>15</v>
      </c>
      <c r="L220" s="16" t="s">
        <v>15</v>
      </c>
      <c r="M220" s="16" t="s">
        <v>15</v>
      </c>
      <c r="N220" s="1" t="s">
        <v>279</v>
      </c>
    </row>
    <row r="221" customFormat="false" ht="15" hidden="false" customHeight="true" outlineLevel="0" collapsed="false">
      <c r="A221" s="17" t="str">
        <f aca="false">IFERROR(VLOOKUP(B221,'Product Master'!$A:$C,3,0),"")</f>
        <v>BALDOR</v>
      </c>
      <c r="B221" s="18" t="s">
        <v>280</v>
      </c>
      <c r="C221" s="19" t="str">
        <f aca="false">IFERROR(VLOOKUP(B221,'Product Master'!$A:$B,2,0),"")</f>
        <v>BAY LEAVES, FRESH</v>
      </c>
      <c r="D221" s="20" t="str">
        <f aca="false">IFERROR(VLOOKUP(B221,'Product Master'!$A:$E,5,0),"")</f>
        <v>CA1</v>
      </c>
      <c r="E221" s="28" t="str">
        <f aca="false">IFERROR(VLOOKUP(B221,'Product Master'!$A:$D,4,0),"")</f>
        <v>Produce - Veg &amp; Fruit</v>
      </c>
      <c r="F221" s="21"/>
      <c r="G221" s="22" t="s">
        <v>15</v>
      </c>
      <c r="H221" s="22" t="s">
        <v>15</v>
      </c>
      <c r="I221" s="22" t="s">
        <v>15</v>
      </c>
      <c r="J221" s="22" t="s">
        <v>15</v>
      </c>
      <c r="K221" s="22" t="s">
        <v>15</v>
      </c>
      <c r="L221" s="22" t="s">
        <v>15</v>
      </c>
      <c r="M221" s="22" t="s">
        <v>15</v>
      </c>
      <c r="N221" s="1" t="s">
        <v>281</v>
      </c>
    </row>
    <row r="222" customFormat="false" ht="15" hidden="false" customHeight="true" outlineLevel="0" collapsed="false">
      <c r="A222" s="10" t="str">
        <f aca="false">IFERROR(VLOOKUP(B222,'Product Master'!$A:$C,3,0),"")</f>
        <v>BALDOR</v>
      </c>
      <c r="B222" s="11" t="s">
        <v>282</v>
      </c>
      <c r="C222" s="12" t="str">
        <f aca="false">IFERROR(VLOOKUP(B222,'Product Master'!$A:$B,2,0),"")</f>
        <v>CAULIFLOWER, ROMANESCO</v>
      </c>
      <c r="D222" s="13" t="str">
        <f aca="false">IFERROR(VLOOKUP(B222,'Product Master'!$A:$E,5,0),"")</f>
        <v>CA12</v>
      </c>
      <c r="E222" s="28" t="str">
        <f aca="false">IFERROR(VLOOKUP(B222,'Product Master'!$A:$D,4,0),"")</f>
        <v>Produce - Veg &amp; Fruit</v>
      </c>
      <c r="F222" s="15"/>
      <c r="G222" s="16" t="s">
        <v>15</v>
      </c>
      <c r="H222" s="16" t="s">
        <v>15</v>
      </c>
      <c r="I222" s="16" t="s">
        <v>15</v>
      </c>
      <c r="J222" s="16" t="s">
        <v>15</v>
      </c>
      <c r="K222" s="16" t="s">
        <v>15</v>
      </c>
      <c r="L222" s="16" t="s">
        <v>15</v>
      </c>
      <c r="M222" s="16" t="s">
        <v>15</v>
      </c>
      <c r="N222" s="1" t="s">
        <v>283</v>
      </c>
    </row>
    <row r="223" customFormat="false" ht="15" hidden="false" customHeight="true" outlineLevel="0" collapsed="false">
      <c r="A223" s="17" t="str">
        <f aca="false">IFERROR(VLOOKUP(B223,'Product Master'!$A:$C,3,0),"")</f>
        <v>NO VENDOR</v>
      </c>
      <c r="B223" s="18" t="s">
        <v>284</v>
      </c>
      <c r="C223" s="19" t="str">
        <f aca="false">IFERROR(VLOOKUP(B223,'Product Master'!$A:$B,2,0),"")</f>
        <v>WATER, FOR RECIPES ONLY</v>
      </c>
      <c r="D223" s="20" t="str">
        <f aca="false">IFERROR(VLOOKUP(B223,'Product Master'!$A:$E,5,0),"")</f>
        <v>ML</v>
      </c>
      <c r="E223" s="28" t="str">
        <f aca="false">IFERROR(VLOOKUP(B223,'Product Master'!$A:$D,4,0),"")</f>
        <v>Produce - Veg &amp; Fruit</v>
      </c>
      <c r="F223" s="21"/>
      <c r="G223" s="22" t="s">
        <v>15</v>
      </c>
      <c r="H223" s="22" t="s">
        <v>15</v>
      </c>
      <c r="I223" s="22" t="s">
        <v>15</v>
      </c>
      <c r="J223" s="22" t="s">
        <v>15</v>
      </c>
      <c r="K223" s="22" t="s">
        <v>15</v>
      </c>
      <c r="L223" s="22" t="s">
        <v>15</v>
      </c>
      <c r="M223" s="22" t="s">
        <v>15</v>
      </c>
      <c r="N223" s="1" t="s">
        <v>285</v>
      </c>
    </row>
  </sheetData>
  <mergeCells count="80">
    <mergeCell ref="A1:M1"/>
    <mergeCell ref="A2:M2"/>
    <mergeCell ref="A5:B5"/>
    <mergeCell ref="C5:E5"/>
    <mergeCell ref="F5:M5"/>
    <mergeCell ref="A6:M6"/>
    <mergeCell ref="A9:M9"/>
    <mergeCell ref="A12:M12"/>
    <mergeCell ref="A16:M16"/>
    <mergeCell ref="A52:B52"/>
    <mergeCell ref="C52:E52"/>
    <mergeCell ref="F52:M52"/>
    <mergeCell ref="A53:M53"/>
    <mergeCell ref="A58:M58"/>
    <mergeCell ref="A65:M65"/>
    <mergeCell ref="A68:B68"/>
    <mergeCell ref="C68:E68"/>
    <mergeCell ref="F68:M68"/>
    <mergeCell ref="A69:M69"/>
    <mergeCell ref="A73:B73"/>
    <mergeCell ref="C73:E73"/>
    <mergeCell ref="F73:M73"/>
    <mergeCell ref="A74:M74"/>
    <mergeCell ref="A76:B76"/>
    <mergeCell ref="C76:E76"/>
    <mergeCell ref="F76:M76"/>
    <mergeCell ref="A77:M77"/>
    <mergeCell ref="A80:B80"/>
    <mergeCell ref="C80:E80"/>
    <mergeCell ref="F80:M80"/>
    <mergeCell ref="A81:M81"/>
    <mergeCell ref="A85:B85"/>
    <mergeCell ref="C85:E85"/>
    <mergeCell ref="F85:M85"/>
    <mergeCell ref="A86:M86"/>
    <mergeCell ref="A90:B90"/>
    <mergeCell ref="C90:E90"/>
    <mergeCell ref="F90:M90"/>
    <mergeCell ref="A91:M91"/>
    <mergeCell ref="A93:B93"/>
    <mergeCell ref="C93:E93"/>
    <mergeCell ref="F93:M93"/>
    <mergeCell ref="A94:M94"/>
    <mergeCell ref="A96:B96"/>
    <mergeCell ref="C96:E96"/>
    <mergeCell ref="F96:M96"/>
    <mergeCell ref="A97:M97"/>
    <mergeCell ref="A100:M100"/>
    <mergeCell ref="A106:M106"/>
    <mergeCell ref="A110:B110"/>
    <mergeCell ref="C110:E110"/>
    <mergeCell ref="F110:M110"/>
    <mergeCell ref="A111:M111"/>
    <mergeCell ref="A116:M116"/>
    <mergeCell ref="A132:M132"/>
    <mergeCell ref="A139:M139"/>
    <mergeCell ref="A142:M142"/>
    <mergeCell ref="A148:M148"/>
    <mergeCell ref="A150:M150"/>
    <mergeCell ref="A152:B152"/>
    <mergeCell ref="C152:E152"/>
    <mergeCell ref="F152:M152"/>
    <mergeCell ref="A153:M153"/>
    <mergeCell ref="A158:M158"/>
    <mergeCell ref="A160:B160"/>
    <mergeCell ref="C160:E160"/>
    <mergeCell ref="F160:M160"/>
    <mergeCell ref="A161:M161"/>
    <mergeCell ref="A163:M163"/>
    <mergeCell ref="A166:M166"/>
    <mergeCell ref="A185:M185"/>
    <mergeCell ref="A187:M187"/>
    <mergeCell ref="A192:B192"/>
    <mergeCell ref="C192:E192"/>
    <mergeCell ref="F192:M192"/>
    <mergeCell ref="A193:M193"/>
    <mergeCell ref="A195:M195"/>
    <mergeCell ref="A198:M198"/>
    <mergeCell ref="A217:M217"/>
    <mergeCell ref="A219:M2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pp1">
              <controlPr defaultSize="0" print="false" autoFill="0" autoPict="0" macro="OrderSystem.RefreshPiPa">
                <anchor moveWithCells="true" sizeWithCells="false">
                  <from>
                    <xdr:col>6</xdr:col>
                    <xdr:colOff>0</xdr:colOff>
                    <xdr:row>1</xdr:row>
                    <xdr:rowOff>0</xdr:rowOff>
                  </from>
                  <to>
                    <xdr:col>7</xdr:col>
                    <xdr:colOff>495360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pp2">
              <controlPr defaultSize="0" print="false" autoFill="0" autoPict="0">
                <anchor moveWithCells="true" sizeWithCells="false">
                  <from>
                    <xdr:col>8</xdr:col>
                    <xdr:colOff>0</xdr:colOff>
                    <xdr:row>1</xdr:row>
                    <xdr:rowOff>0</xdr:rowOff>
                  </from>
                  <to>
                    <xdr:col>9</xdr:col>
                    <xdr:colOff>19080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pp3">
              <controlPr defaultSize="0" print="false" autoFill="0" autoPict="0">
                <anchor moveWithCells="true" sizeWithCells="false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209520</xdr:colOff>
                    <xdr:row>2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7A"/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56"/>
    <col collapsed="false" customWidth="true" hidden="false" outlineLevel="0" max="4" min="4" style="1" width="12"/>
    <col collapsed="false" customWidth="true" hidden="false" outlineLevel="0" max="5" min="5" style="1" width="7"/>
    <col collapsed="false" customWidth="true" hidden="false" outlineLevel="0" max="12" min="6" style="1" width="13"/>
    <col collapsed="false" customWidth="true" hidden="true" outlineLevel="0" max="13" min="13" style="1" width="20"/>
  </cols>
  <sheetData>
    <row r="1" customFormat="false" ht="27.75" hidden="false" customHeight="true" outlineLevel="0" collapsed="false">
      <c r="A1" s="61" t="s">
        <v>286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customFormat="false" ht="15" hidden="false" customHeight="true" outlineLevel="0" collapsed="false">
      <c r="A2" s="3" t="s">
        <v>287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.75" hidden="false" customHeight="true" outlineLevel="0" collapsed="false"/>
    <row r="4" customFormat="false" ht="27.75" hidden="false" customHeight="true" outlineLevel="0" collapsed="false">
      <c r="A4" s="62" t="s">
        <v>288</v>
      </c>
      <c r="B4" s="62" t="s">
        <v>3</v>
      </c>
      <c r="C4" s="62" t="s">
        <v>4</v>
      </c>
      <c r="D4" s="62" t="s">
        <v>5</v>
      </c>
      <c r="E4" s="62" t="s">
        <v>7</v>
      </c>
      <c r="F4" s="63" t="str">
        <f aca="true">TEXT(TODAY()-WEEKDAY(TODAY(),2)+1,"D-MMM")</f>
        <v>6-Apr</v>
      </c>
      <c r="G4" s="63" t="str">
        <f aca="true">TEXT(TODAY()-WEEKDAY(TODAY(),2)+2,"D-MMM")</f>
        <v>7-Apr</v>
      </c>
      <c r="H4" s="63" t="str">
        <f aca="true">TEXT(TODAY()-WEEKDAY(TODAY(),2)+3,"D-MMM")</f>
        <v>8-Apr</v>
      </c>
      <c r="I4" s="63" t="str">
        <f aca="true">TEXT(TODAY()-WEEKDAY(TODAY(),2)+4,"D-MMM")</f>
        <v>9-Apr</v>
      </c>
      <c r="J4" s="63" t="str">
        <f aca="true">TEXT(TODAY()-WEEKDAY(TODAY(),2)+5,"D-MMM")</f>
        <v>10-Apr</v>
      </c>
      <c r="K4" s="63" t="str">
        <f aca="true">TEXT(TODAY()-WEEKDAY(TODAY(),2)+6,"D-MMM")</f>
        <v>11-Apr</v>
      </c>
      <c r="L4" s="63" t="str">
        <f aca="true">TEXT(TODAY()-WEEKDAY(TODAY(),2)+7,"D-MMM")</f>
        <v>12-Apr</v>
      </c>
    </row>
    <row r="5" customFormat="false" ht="19.5" hidden="false" customHeight="true" outlineLevel="0" collapsed="false">
      <c r="A5" s="64" t="s">
        <v>289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1" t="s">
        <v>11</v>
      </c>
    </row>
    <row r="6" customFormat="false" ht="15" hidden="false" customHeight="true" outlineLevel="0" collapsed="false">
      <c r="A6" s="10" t="s">
        <v>290</v>
      </c>
      <c r="B6" s="11" t="s">
        <v>291</v>
      </c>
      <c r="C6" s="12" t="s">
        <v>292</v>
      </c>
      <c r="D6" s="13" t="s">
        <v>293</v>
      </c>
      <c r="E6" s="15"/>
      <c r="F6" s="16" t="s">
        <v>15</v>
      </c>
      <c r="G6" s="16" t="s">
        <v>15</v>
      </c>
      <c r="H6" s="16" t="s">
        <v>15</v>
      </c>
      <c r="I6" s="16" t="s">
        <v>15</v>
      </c>
      <c r="J6" s="16" t="s">
        <v>15</v>
      </c>
      <c r="K6" s="16" t="s">
        <v>15</v>
      </c>
      <c r="L6" s="16" t="s">
        <v>15</v>
      </c>
      <c r="M6" s="1" t="s">
        <v>291</v>
      </c>
    </row>
    <row r="7" customFormat="false" ht="15" hidden="false" customHeight="true" outlineLevel="0" collapsed="false">
      <c r="A7" s="17" t="s">
        <v>290</v>
      </c>
      <c r="B7" s="18" t="s">
        <v>294</v>
      </c>
      <c r="C7" s="19" t="s">
        <v>295</v>
      </c>
      <c r="D7" s="20" t="s">
        <v>293</v>
      </c>
      <c r="E7" s="21"/>
      <c r="F7" s="22" t="s">
        <v>15</v>
      </c>
      <c r="G7" s="22" t="s">
        <v>15</v>
      </c>
      <c r="H7" s="22" t="s">
        <v>15</v>
      </c>
      <c r="I7" s="22" t="s">
        <v>15</v>
      </c>
      <c r="J7" s="22" t="s">
        <v>15</v>
      </c>
      <c r="K7" s="22" t="s">
        <v>15</v>
      </c>
      <c r="L7" s="22" t="s">
        <v>15</v>
      </c>
      <c r="M7" s="1" t="s">
        <v>294</v>
      </c>
    </row>
    <row r="8" customFormat="false" ht="15" hidden="false" customHeight="true" outlineLevel="0" collapsed="false">
      <c r="A8" s="10" t="s">
        <v>290</v>
      </c>
      <c r="B8" s="11" t="s">
        <v>296</v>
      </c>
      <c r="C8" s="12" t="s">
        <v>297</v>
      </c>
      <c r="D8" s="13" t="s">
        <v>293</v>
      </c>
      <c r="E8" s="15"/>
      <c r="F8" s="16" t="s">
        <v>15</v>
      </c>
      <c r="G8" s="16" t="s">
        <v>15</v>
      </c>
      <c r="H8" s="16" t="s">
        <v>15</v>
      </c>
      <c r="I8" s="16" t="s">
        <v>15</v>
      </c>
      <c r="J8" s="16" t="s">
        <v>15</v>
      </c>
      <c r="K8" s="16" t="s">
        <v>15</v>
      </c>
      <c r="L8" s="16" t="s">
        <v>15</v>
      </c>
      <c r="M8" s="1" t="s">
        <v>296</v>
      </c>
    </row>
    <row r="9" customFormat="false" ht="15" hidden="false" customHeight="true" outlineLevel="0" collapsed="false">
      <c r="A9" s="17" t="s">
        <v>290</v>
      </c>
      <c r="B9" s="18" t="s">
        <v>298</v>
      </c>
      <c r="C9" s="19" t="s">
        <v>299</v>
      </c>
      <c r="D9" s="20" t="s">
        <v>293</v>
      </c>
      <c r="E9" s="21"/>
      <c r="F9" s="22" t="s">
        <v>15</v>
      </c>
      <c r="G9" s="22" t="s">
        <v>15</v>
      </c>
      <c r="H9" s="22" t="s">
        <v>15</v>
      </c>
      <c r="I9" s="22" t="s">
        <v>15</v>
      </c>
      <c r="J9" s="22" t="s">
        <v>15</v>
      </c>
      <c r="K9" s="22" t="s">
        <v>15</v>
      </c>
      <c r="L9" s="22" t="s">
        <v>15</v>
      </c>
      <c r="M9" s="1" t="s">
        <v>298</v>
      </c>
    </row>
    <row r="10" customFormat="false" ht="19.5" hidden="false" customHeight="true" outlineLevel="0" collapsed="false">
      <c r="A10" s="65" t="s">
        <v>300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1" t="s">
        <v>11</v>
      </c>
    </row>
    <row r="11" customFormat="false" ht="15" hidden="false" customHeight="true" outlineLevel="0" collapsed="false">
      <c r="A11" s="10" t="s">
        <v>301</v>
      </c>
      <c r="B11" s="11" t="s">
        <v>302</v>
      </c>
      <c r="C11" s="12" t="s">
        <v>303</v>
      </c>
      <c r="D11" s="13" t="s">
        <v>293</v>
      </c>
      <c r="E11" s="15"/>
      <c r="F11" s="16" t="s">
        <v>15</v>
      </c>
      <c r="G11" s="16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" t="s">
        <v>302</v>
      </c>
    </row>
    <row r="12" customFormat="false" ht="15" hidden="false" customHeight="true" outlineLevel="0" collapsed="false">
      <c r="A12" s="17" t="s">
        <v>301</v>
      </c>
      <c r="B12" s="18" t="s">
        <v>304</v>
      </c>
      <c r="C12" s="19" t="s">
        <v>305</v>
      </c>
      <c r="D12" s="20" t="s">
        <v>293</v>
      </c>
      <c r="E12" s="21"/>
      <c r="F12" s="22" t="s">
        <v>15</v>
      </c>
      <c r="G12" s="22" t="s">
        <v>15</v>
      </c>
      <c r="H12" s="22" t="s">
        <v>15</v>
      </c>
      <c r="I12" s="22" t="s">
        <v>15</v>
      </c>
      <c r="J12" s="22" t="s">
        <v>15</v>
      </c>
      <c r="K12" s="22" t="s">
        <v>15</v>
      </c>
      <c r="L12" s="22" t="s">
        <v>15</v>
      </c>
      <c r="M12" s="1" t="s">
        <v>304</v>
      </c>
    </row>
    <row r="13" customFormat="false" ht="15" hidden="false" customHeight="true" outlineLevel="0" collapsed="false">
      <c r="A13" s="10" t="s">
        <v>301</v>
      </c>
      <c r="B13" s="11" t="s">
        <v>306</v>
      </c>
      <c r="C13" s="12" t="s">
        <v>307</v>
      </c>
      <c r="D13" s="13" t="s">
        <v>293</v>
      </c>
      <c r="E13" s="15"/>
      <c r="F13" s="16" t="s">
        <v>15</v>
      </c>
      <c r="G13" s="16" t="s">
        <v>15</v>
      </c>
      <c r="H13" s="16" t="s">
        <v>15</v>
      </c>
      <c r="I13" s="16" t="s">
        <v>15</v>
      </c>
      <c r="J13" s="16" t="s">
        <v>15</v>
      </c>
      <c r="K13" s="16" t="s">
        <v>15</v>
      </c>
      <c r="L13" s="16" t="s">
        <v>15</v>
      </c>
      <c r="M13" s="1" t="s">
        <v>306</v>
      </c>
    </row>
    <row r="14" customFormat="false" ht="15" hidden="false" customHeight="true" outlineLevel="0" collapsed="false">
      <c r="A14" s="17" t="s">
        <v>301</v>
      </c>
      <c r="B14" s="18" t="s">
        <v>308</v>
      </c>
      <c r="C14" s="19" t="s">
        <v>309</v>
      </c>
      <c r="D14" s="20" t="s">
        <v>293</v>
      </c>
      <c r="E14" s="21"/>
      <c r="F14" s="22" t="s">
        <v>15</v>
      </c>
      <c r="G14" s="22" t="s">
        <v>15</v>
      </c>
      <c r="H14" s="22" t="s">
        <v>15</v>
      </c>
      <c r="I14" s="22" t="s">
        <v>15</v>
      </c>
      <c r="J14" s="22" t="s">
        <v>15</v>
      </c>
      <c r="K14" s="22" t="s">
        <v>15</v>
      </c>
      <c r="L14" s="22" t="s">
        <v>15</v>
      </c>
      <c r="M14" s="1" t="s">
        <v>308</v>
      </c>
    </row>
    <row r="15" customFormat="false" ht="15" hidden="false" customHeight="true" outlineLevel="0" collapsed="false">
      <c r="A15" s="10" t="s">
        <v>301</v>
      </c>
      <c r="B15" s="11" t="s">
        <v>310</v>
      </c>
      <c r="C15" s="12" t="s">
        <v>311</v>
      </c>
      <c r="D15" s="13" t="s">
        <v>293</v>
      </c>
      <c r="E15" s="15"/>
      <c r="F15" s="16" t="s">
        <v>15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" t="s">
        <v>310</v>
      </c>
    </row>
    <row r="16" customFormat="false" ht="15" hidden="false" customHeight="true" outlineLevel="0" collapsed="false">
      <c r="A16" s="17" t="s">
        <v>301</v>
      </c>
      <c r="B16" s="18" t="s">
        <v>312</v>
      </c>
      <c r="C16" s="19" t="s">
        <v>313</v>
      </c>
      <c r="D16" s="20" t="s">
        <v>293</v>
      </c>
      <c r="E16" s="21"/>
      <c r="F16" s="22" t="s">
        <v>15</v>
      </c>
      <c r="G16" s="22" t="s">
        <v>15</v>
      </c>
      <c r="H16" s="22" t="s">
        <v>15</v>
      </c>
      <c r="I16" s="22" t="s">
        <v>15</v>
      </c>
      <c r="J16" s="22" t="s">
        <v>15</v>
      </c>
      <c r="K16" s="22" t="s">
        <v>15</v>
      </c>
      <c r="L16" s="22" t="s">
        <v>15</v>
      </c>
      <c r="M16" s="1" t="s">
        <v>312</v>
      </c>
    </row>
    <row r="17" customFormat="false" ht="15" hidden="false" customHeight="true" outlineLevel="0" collapsed="false">
      <c r="A17" s="10" t="s">
        <v>301</v>
      </c>
      <c r="B17" s="11" t="s">
        <v>314</v>
      </c>
      <c r="C17" s="12" t="s">
        <v>315</v>
      </c>
      <c r="D17" s="13" t="s">
        <v>293</v>
      </c>
      <c r="E17" s="15"/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" t="s">
        <v>314</v>
      </c>
    </row>
    <row r="18" customFormat="false" ht="15" hidden="false" customHeight="true" outlineLevel="0" collapsed="false">
      <c r="A18" s="17" t="s">
        <v>301</v>
      </c>
      <c r="B18" s="18" t="s">
        <v>316</v>
      </c>
      <c r="C18" s="19" t="s">
        <v>317</v>
      </c>
      <c r="D18" s="20" t="s">
        <v>293</v>
      </c>
      <c r="E18" s="21"/>
      <c r="F18" s="22" t="s">
        <v>15</v>
      </c>
      <c r="G18" s="22" t="s">
        <v>15</v>
      </c>
      <c r="H18" s="22" t="s">
        <v>15</v>
      </c>
      <c r="I18" s="22" t="s">
        <v>15</v>
      </c>
      <c r="J18" s="22" t="s">
        <v>15</v>
      </c>
      <c r="K18" s="22" t="s">
        <v>15</v>
      </c>
      <c r="L18" s="22" t="s">
        <v>15</v>
      </c>
      <c r="M18" s="1" t="s">
        <v>316</v>
      </c>
    </row>
    <row r="19" customFormat="false" ht="15" hidden="false" customHeight="true" outlineLevel="0" collapsed="false">
      <c r="A19" s="10" t="s">
        <v>301</v>
      </c>
      <c r="B19" s="11" t="s">
        <v>318</v>
      </c>
      <c r="C19" s="12" t="s">
        <v>319</v>
      </c>
      <c r="D19" s="13" t="s">
        <v>293</v>
      </c>
      <c r="E19" s="15"/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" t="s">
        <v>318</v>
      </c>
    </row>
    <row r="20" customFormat="false" ht="15" hidden="false" customHeight="true" outlineLevel="0" collapsed="false">
      <c r="A20" s="17" t="s">
        <v>301</v>
      </c>
      <c r="B20" s="18" t="s">
        <v>320</v>
      </c>
      <c r="C20" s="19" t="s">
        <v>321</v>
      </c>
      <c r="D20" s="20" t="s">
        <v>293</v>
      </c>
      <c r="E20" s="21"/>
      <c r="F20" s="22" t="s">
        <v>15</v>
      </c>
      <c r="G20" s="22" t="s">
        <v>15</v>
      </c>
      <c r="H20" s="22" t="s">
        <v>15</v>
      </c>
      <c r="I20" s="22" t="s">
        <v>15</v>
      </c>
      <c r="J20" s="22" t="s">
        <v>15</v>
      </c>
      <c r="K20" s="22" t="s">
        <v>15</v>
      </c>
      <c r="L20" s="22" t="s">
        <v>15</v>
      </c>
      <c r="M20" s="1" t="s">
        <v>320</v>
      </c>
    </row>
    <row r="21" customFormat="false" ht="15" hidden="false" customHeight="true" outlineLevel="0" collapsed="false">
      <c r="A21" s="10" t="s">
        <v>301</v>
      </c>
      <c r="B21" s="11" t="s">
        <v>322</v>
      </c>
      <c r="C21" s="12" t="s">
        <v>323</v>
      </c>
      <c r="D21" s="13" t="s">
        <v>293</v>
      </c>
      <c r="E21" s="15"/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" t="s">
        <v>322</v>
      </c>
    </row>
    <row r="22" customFormat="false" ht="15" hidden="false" customHeight="true" outlineLevel="0" collapsed="false">
      <c r="A22" s="17" t="s">
        <v>301</v>
      </c>
      <c r="B22" s="18" t="s">
        <v>324</v>
      </c>
      <c r="C22" s="19" t="s">
        <v>325</v>
      </c>
      <c r="D22" s="20" t="s">
        <v>293</v>
      </c>
      <c r="E22" s="21"/>
      <c r="F22" s="22" t="s">
        <v>15</v>
      </c>
      <c r="G22" s="22" t="s">
        <v>15</v>
      </c>
      <c r="H22" s="22" t="s">
        <v>15</v>
      </c>
      <c r="I22" s="22" t="s">
        <v>15</v>
      </c>
      <c r="J22" s="22" t="s">
        <v>15</v>
      </c>
      <c r="K22" s="22" t="s">
        <v>15</v>
      </c>
      <c r="L22" s="22" t="s">
        <v>15</v>
      </c>
      <c r="M22" s="1" t="s">
        <v>324</v>
      </c>
    </row>
    <row r="23" customFormat="false" ht="15" hidden="false" customHeight="true" outlineLevel="0" collapsed="false">
      <c r="A23" s="10" t="s">
        <v>301</v>
      </c>
      <c r="B23" s="11" t="s">
        <v>326</v>
      </c>
      <c r="C23" s="12" t="s">
        <v>327</v>
      </c>
      <c r="D23" s="13" t="s">
        <v>293</v>
      </c>
      <c r="E23" s="15"/>
      <c r="F23" s="16" t="s">
        <v>15</v>
      </c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" t="s">
        <v>326</v>
      </c>
    </row>
    <row r="24" customFormat="false" ht="15" hidden="false" customHeight="true" outlineLevel="0" collapsed="false">
      <c r="A24" s="17" t="s">
        <v>301</v>
      </c>
      <c r="B24" s="18" t="s">
        <v>328</v>
      </c>
      <c r="C24" s="19" t="s">
        <v>329</v>
      </c>
      <c r="D24" s="20" t="s">
        <v>293</v>
      </c>
      <c r="E24" s="21"/>
      <c r="F24" s="22" t="s">
        <v>15</v>
      </c>
      <c r="G24" s="22" t="s">
        <v>15</v>
      </c>
      <c r="H24" s="22" t="s">
        <v>15</v>
      </c>
      <c r="I24" s="22" t="s">
        <v>15</v>
      </c>
      <c r="J24" s="22" t="s">
        <v>15</v>
      </c>
      <c r="K24" s="22" t="s">
        <v>15</v>
      </c>
      <c r="L24" s="22" t="s">
        <v>15</v>
      </c>
      <c r="M24" s="1" t="s">
        <v>328</v>
      </c>
    </row>
    <row r="25" customFormat="false" ht="15" hidden="false" customHeight="true" outlineLevel="0" collapsed="false">
      <c r="A25" s="10" t="s">
        <v>301</v>
      </c>
      <c r="B25" s="11" t="s">
        <v>330</v>
      </c>
      <c r="C25" s="12" t="s">
        <v>331</v>
      </c>
      <c r="D25" s="13" t="s">
        <v>293</v>
      </c>
      <c r="E25" s="15"/>
      <c r="F25" s="16" t="s">
        <v>15</v>
      </c>
      <c r="G25" s="16" t="s">
        <v>15</v>
      </c>
      <c r="H25" s="16" t="s">
        <v>15</v>
      </c>
      <c r="I25" s="16" t="s">
        <v>15</v>
      </c>
      <c r="J25" s="16" t="s">
        <v>15</v>
      </c>
      <c r="K25" s="16" t="s">
        <v>15</v>
      </c>
      <c r="L25" s="16" t="s">
        <v>15</v>
      </c>
      <c r="M25" s="1" t="s">
        <v>330</v>
      </c>
    </row>
    <row r="26" customFormat="false" ht="15" hidden="false" customHeight="true" outlineLevel="0" collapsed="false">
      <c r="A26" s="17" t="s">
        <v>301</v>
      </c>
      <c r="B26" s="18" t="s">
        <v>332</v>
      </c>
      <c r="C26" s="19" t="s">
        <v>333</v>
      </c>
      <c r="D26" s="20" t="s">
        <v>293</v>
      </c>
      <c r="E26" s="21"/>
      <c r="F26" s="22" t="s">
        <v>15</v>
      </c>
      <c r="G26" s="22" t="s">
        <v>15</v>
      </c>
      <c r="H26" s="22" t="s">
        <v>15</v>
      </c>
      <c r="I26" s="22" t="s">
        <v>15</v>
      </c>
      <c r="J26" s="22" t="s">
        <v>15</v>
      </c>
      <c r="K26" s="22" t="s">
        <v>15</v>
      </c>
      <c r="L26" s="22" t="s">
        <v>15</v>
      </c>
      <c r="M26" s="1" t="s">
        <v>332</v>
      </c>
    </row>
    <row r="27" customFormat="false" ht="15" hidden="false" customHeight="true" outlineLevel="0" collapsed="false">
      <c r="A27" s="10" t="s">
        <v>301</v>
      </c>
      <c r="B27" s="11" t="s">
        <v>334</v>
      </c>
      <c r="C27" s="12" t="s">
        <v>335</v>
      </c>
      <c r="D27" s="13" t="s">
        <v>293</v>
      </c>
      <c r="E27" s="15"/>
      <c r="F27" s="16" t="s">
        <v>15</v>
      </c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" t="s">
        <v>334</v>
      </c>
    </row>
    <row r="28" customFormat="false" ht="15" hidden="false" customHeight="true" outlineLevel="0" collapsed="false">
      <c r="A28" s="17" t="s">
        <v>301</v>
      </c>
      <c r="B28" s="18" t="s">
        <v>336</v>
      </c>
      <c r="C28" s="19" t="s">
        <v>337</v>
      </c>
      <c r="D28" s="20" t="s">
        <v>293</v>
      </c>
      <c r="E28" s="21"/>
      <c r="F28" s="22" t="s">
        <v>15</v>
      </c>
      <c r="G28" s="22" t="s">
        <v>15</v>
      </c>
      <c r="H28" s="22" t="s">
        <v>15</v>
      </c>
      <c r="I28" s="22" t="s">
        <v>15</v>
      </c>
      <c r="J28" s="22" t="s">
        <v>15</v>
      </c>
      <c r="K28" s="22" t="s">
        <v>15</v>
      </c>
      <c r="L28" s="22" t="s">
        <v>15</v>
      </c>
      <c r="M28" s="1" t="s">
        <v>336</v>
      </c>
    </row>
    <row r="29" customFormat="false" ht="15" hidden="false" customHeight="true" outlineLevel="0" collapsed="false">
      <c r="A29" s="10" t="s">
        <v>301</v>
      </c>
      <c r="B29" s="11" t="s">
        <v>338</v>
      </c>
      <c r="C29" s="12" t="s">
        <v>339</v>
      </c>
      <c r="D29" s="13" t="s">
        <v>293</v>
      </c>
      <c r="E29" s="15"/>
      <c r="F29" s="16" t="s">
        <v>15</v>
      </c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" t="s">
        <v>338</v>
      </c>
    </row>
    <row r="30" customFormat="false" ht="15" hidden="false" customHeight="true" outlineLevel="0" collapsed="false">
      <c r="A30" s="17" t="s">
        <v>301</v>
      </c>
      <c r="B30" s="18" t="s">
        <v>340</v>
      </c>
      <c r="C30" s="19" t="s">
        <v>341</v>
      </c>
      <c r="D30" s="20" t="s">
        <v>293</v>
      </c>
      <c r="E30" s="21"/>
      <c r="F30" s="22" t="s">
        <v>15</v>
      </c>
      <c r="G30" s="22" t="s">
        <v>15</v>
      </c>
      <c r="H30" s="22" t="s">
        <v>15</v>
      </c>
      <c r="I30" s="22" t="s">
        <v>15</v>
      </c>
      <c r="J30" s="22" t="s">
        <v>15</v>
      </c>
      <c r="K30" s="22" t="s">
        <v>15</v>
      </c>
      <c r="L30" s="22" t="s">
        <v>15</v>
      </c>
      <c r="M30" s="1" t="s">
        <v>340</v>
      </c>
    </row>
    <row r="31" customFormat="false" ht="19.5" hidden="false" customHeight="true" outlineLevel="0" collapsed="false">
      <c r="A31" s="66" t="s">
        <v>342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1" t="s">
        <v>11</v>
      </c>
    </row>
    <row r="32" customFormat="false" ht="15" hidden="false" customHeight="true" outlineLevel="0" collapsed="false">
      <c r="A32" s="10" t="s">
        <v>343</v>
      </c>
      <c r="B32" s="11" t="s">
        <v>344</v>
      </c>
      <c r="C32" s="12" t="s">
        <v>345</v>
      </c>
      <c r="D32" s="13" t="s">
        <v>293</v>
      </c>
      <c r="E32" s="15"/>
      <c r="F32" s="16" t="s">
        <v>15</v>
      </c>
      <c r="G32" s="16" t="s">
        <v>15</v>
      </c>
      <c r="H32" s="16" t="s">
        <v>15</v>
      </c>
      <c r="I32" s="16" t="s">
        <v>15</v>
      </c>
      <c r="J32" s="16" t="s">
        <v>15</v>
      </c>
      <c r="K32" s="16" t="s">
        <v>15</v>
      </c>
      <c r="L32" s="16" t="s">
        <v>15</v>
      </c>
      <c r="M32" s="1" t="s">
        <v>344</v>
      </c>
    </row>
    <row r="33" customFormat="false" ht="15" hidden="false" customHeight="true" outlineLevel="0" collapsed="false">
      <c r="A33" s="17" t="s">
        <v>343</v>
      </c>
      <c r="B33" s="18" t="s">
        <v>346</v>
      </c>
      <c r="C33" s="19" t="s">
        <v>347</v>
      </c>
      <c r="D33" s="20" t="s">
        <v>293</v>
      </c>
      <c r="E33" s="21"/>
      <c r="F33" s="22" t="s">
        <v>15</v>
      </c>
      <c r="G33" s="22" t="s">
        <v>15</v>
      </c>
      <c r="H33" s="22" t="s">
        <v>15</v>
      </c>
      <c r="I33" s="22" t="s">
        <v>15</v>
      </c>
      <c r="J33" s="22" t="s">
        <v>15</v>
      </c>
      <c r="K33" s="22" t="s">
        <v>15</v>
      </c>
      <c r="L33" s="22" t="s">
        <v>15</v>
      </c>
      <c r="M33" s="1" t="s">
        <v>346</v>
      </c>
    </row>
    <row r="34" customFormat="false" ht="15" hidden="false" customHeight="true" outlineLevel="0" collapsed="false">
      <c r="A34" s="10" t="s">
        <v>343</v>
      </c>
      <c r="B34" s="11" t="s">
        <v>348</v>
      </c>
      <c r="C34" s="12" t="s">
        <v>349</v>
      </c>
      <c r="D34" s="13" t="s">
        <v>293</v>
      </c>
      <c r="E34" s="15"/>
      <c r="F34" s="16" t="s">
        <v>15</v>
      </c>
      <c r="G34" s="16" t="s">
        <v>15</v>
      </c>
      <c r="H34" s="16" t="s">
        <v>15</v>
      </c>
      <c r="I34" s="16" t="s">
        <v>15</v>
      </c>
      <c r="J34" s="16" t="s">
        <v>15</v>
      </c>
      <c r="K34" s="16" t="s">
        <v>15</v>
      </c>
      <c r="L34" s="16" t="s">
        <v>15</v>
      </c>
      <c r="M34" s="1" t="s">
        <v>348</v>
      </c>
    </row>
    <row r="35" customFormat="false" ht="15" hidden="false" customHeight="true" outlineLevel="0" collapsed="false">
      <c r="A35" s="17" t="s">
        <v>343</v>
      </c>
      <c r="B35" s="18" t="s">
        <v>350</v>
      </c>
      <c r="C35" s="19" t="s">
        <v>351</v>
      </c>
      <c r="D35" s="20" t="s">
        <v>293</v>
      </c>
      <c r="E35" s="21"/>
      <c r="F35" s="22" t="s">
        <v>15</v>
      </c>
      <c r="G35" s="22" t="s">
        <v>15</v>
      </c>
      <c r="H35" s="22" t="s">
        <v>15</v>
      </c>
      <c r="I35" s="22" t="s">
        <v>15</v>
      </c>
      <c r="J35" s="22" t="s">
        <v>15</v>
      </c>
      <c r="K35" s="22" t="s">
        <v>15</v>
      </c>
      <c r="L35" s="22" t="s">
        <v>15</v>
      </c>
      <c r="M35" s="1" t="s">
        <v>350</v>
      </c>
    </row>
    <row r="36" customFormat="false" ht="15" hidden="false" customHeight="true" outlineLevel="0" collapsed="false">
      <c r="A36" s="10" t="s">
        <v>343</v>
      </c>
      <c r="B36" s="11" t="s">
        <v>352</v>
      </c>
      <c r="C36" s="12" t="s">
        <v>353</v>
      </c>
      <c r="D36" s="13" t="s">
        <v>293</v>
      </c>
      <c r="E36" s="15"/>
      <c r="F36" s="16" t="s">
        <v>15</v>
      </c>
      <c r="G36" s="16" t="s">
        <v>15</v>
      </c>
      <c r="H36" s="16" t="s">
        <v>15</v>
      </c>
      <c r="I36" s="16" t="s">
        <v>15</v>
      </c>
      <c r="J36" s="16" t="s">
        <v>15</v>
      </c>
      <c r="K36" s="16" t="s">
        <v>15</v>
      </c>
      <c r="L36" s="16" t="s">
        <v>15</v>
      </c>
      <c r="M36" s="1" t="s">
        <v>352</v>
      </c>
    </row>
    <row r="37" customFormat="false" ht="15" hidden="false" customHeight="true" outlineLevel="0" collapsed="false">
      <c r="A37" s="17" t="s">
        <v>343</v>
      </c>
      <c r="B37" s="18" t="s">
        <v>354</v>
      </c>
      <c r="C37" s="19" t="s">
        <v>355</v>
      </c>
      <c r="D37" s="20" t="s">
        <v>293</v>
      </c>
      <c r="E37" s="21"/>
      <c r="F37" s="22" t="s">
        <v>15</v>
      </c>
      <c r="G37" s="22" t="s">
        <v>15</v>
      </c>
      <c r="H37" s="22" t="s">
        <v>15</v>
      </c>
      <c r="I37" s="22" t="s">
        <v>15</v>
      </c>
      <c r="J37" s="22" t="s">
        <v>15</v>
      </c>
      <c r="K37" s="22" t="s">
        <v>15</v>
      </c>
      <c r="L37" s="22" t="s">
        <v>15</v>
      </c>
      <c r="M37" s="1" t="s">
        <v>354</v>
      </c>
    </row>
    <row r="38" customFormat="false" ht="15" hidden="false" customHeight="true" outlineLevel="0" collapsed="false">
      <c r="A38" s="10" t="s">
        <v>343</v>
      </c>
      <c r="B38" s="11" t="s">
        <v>356</v>
      </c>
      <c r="C38" s="12" t="s">
        <v>357</v>
      </c>
      <c r="D38" s="13" t="s">
        <v>293</v>
      </c>
      <c r="E38" s="15"/>
      <c r="F38" s="16" t="s">
        <v>15</v>
      </c>
      <c r="G38" s="16" t="s">
        <v>15</v>
      </c>
      <c r="H38" s="16" t="s">
        <v>15</v>
      </c>
      <c r="I38" s="16" t="s">
        <v>15</v>
      </c>
      <c r="J38" s="16" t="s">
        <v>15</v>
      </c>
      <c r="K38" s="16" t="s">
        <v>15</v>
      </c>
      <c r="L38" s="16" t="s">
        <v>15</v>
      </c>
      <c r="M38" s="1" t="s">
        <v>356</v>
      </c>
    </row>
  </sheetData>
  <mergeCells count="5">
    <mergeCell ref="A1:L1"/>
    <mergeCell ref="A2:L2"/>
    <mergeCell ref="A5:L5"/>
    <mergeCell ref="A10:L10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pe1">
              <controlPr defaultSize="0" print="false" autoFill="0" autoPict="0" macro="OrderSystem.RefreshPiPaEDT">
                <anchor moveWithCells="true" sizeWithCells="false">
                  <from>
                    <xdr:col>6</xdr:col>
                    <xdr:colOff>0</xdr:colOff>
                    <xdr:row>1</xdr:row>
                    <xdr:rowOff>0</xdr:rowOff>
                  </from>
                  <to>
                    <xdr:col>7</xdr:col>
                    <xdr:colOff>495360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pe2">
              <controlPr defaultSize="0" print="false" autoFill="0" autoPict="0">
                <anchor moveWithCells="true" sizeWithCells="false">
                  <from>
                    <xdr:col>8</xdr:col>
                    <xdr:colOff>0</xdr:colOff>
                    <xdr:row>1</xdr:row>
                    <xdr:rowOff>0</xdr:rowOff>
                  </from>
                  <to>
                    <xdr:col>9</xdr:col>
                    <xdr:colOff>19080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pe3">
              <controlPr defaultSize="0" print="false" autoFill="0" autoPict="0">
                <anchor moveWithCells="true" sizeWithCells="false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209520</xdr:colOff>
                    <xdr:row>2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13" min="7" style="1" width="13"/>
    <col collapsed="false" customWidth="true" hidden="true" outlineLevel="0" max="14" min="14" style="1" width="80"/>
  </cols>
  <sheetData>
    <row r="1" customFormat="false" ht="27.75" hidden="false" customHeight="true" outlineLevel="0" collapsed="false">
      <c r="A1" s="67" t="s">
        <v>358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customFormat="false" ht="15" hidden="false" customHeight="true" outlineLevel="0" collapsed="false">
      <c r="A2" s="3" t="s">
        <v>359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.75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tr">
        <f aca="true">TEXT(TODAY()-WEEKDAY(TODAY(),2)+1,"D-MMM")</f>
        <v>6-Apr</v>
      </c>
      <c r="H4" s="5" t="str">
        <f aca="true">TEXT(TODAY()-WEEKDAY(TODAY(),2)+2,"D-MMM")</f>
        <v>7-Apr</v>
      </c>
      <c r="I4" s="5" t="str">
        <f aca="true">TEXT(TODAY()-WEEKDAY(TODAY(),2)+3,"D-MMM")</f>
        <v>8-Apr</v>
      </c>
      <c r="J4" s="5" t="str">
        <f aca="true">TEXT(TODAY()-WEEKDAY(TODAY(),2)+4,"D-MMM")</f>
        <v>9-Apr</v>
      </c>
      <c r="K4" s="5" t="str">
        <f aca="true">TEXT(TODAY()-WEEKDAY(TODAY(),2)+5,"D-MMM")</f>
        <v>10-Apr</v>
      </c>
      <c r="L4" s="5" t="str">
        <f aca="true">TEXT(TODAY()-WEEKDAY(TODAY(),2)+6,"D-MMM")</f>
        <v>11-Apr</v>
      </c>
      <c r="M4" s="5" t="str">
        <f aca="true">TEXT(TODAY()-WEEKDAY(TODAY(),2)+7,"D-MMM")</f>
        <v>12-Apr</v>
      </c>
    </row>
    <row r="5" customFormat="false" ht="19.5" hidden="false" customHeight="true" outlineLevel="0" collapsed="false">
      <c r="A5" s="6" t="s">
        <v>8</v>
      </c>
      <c r="B5" s="6"/>
      <c r="C5" s="7" t="s">
        <v>9</v>
      </c>
      <c r="D5" s="7"/>
      <c r="E5" s="7"/>
      <c r="F5" s="8" t="s">
        <v>10</v>
      </c>
      <c r="G5" s="8"/>
      <c r="H5" s="8"/>
      <c r="I5" s="8"/>
      <c r="J5" s="8"/>
      <c r="K5" s="8"/>
      <c r="L5" s="8"/>
      <c r="M5" s="8"/>
      <c r="N5" s="1" t="s">
        <v>11</v>
      </c>
    </row>
    <row r="6" customFormat="false" ht="12.7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" t="s">
        <v>13</v>
      </c>
    </row>
    <row r="7" customFormat="false" ht="15" hidden="false" customHeight="true" outlineLevel="0" collapsed="false">
      <c r="A7" s="10" t="str">
        <f aca="false">IFERROR(VLOOKUP(B7,'Product Master'!$A:$C,3,0),"")</f>
        <v>BALDOR</v>
      </c>
      <c r="B7" s="11" t="s">
        <v>14</v>
      </c>
      <c r="C7" s="12" t="str">
        <f aca="false">IFERROR(VLOOKUP(B7,'Product Master'!$A:$B,2,0),"")</f>
        <v>HEAVY CREAM 36% UHT QUART [FARMLAND FRESH]</v>
      </c>
      <c r="D7" s="13" t="str">
        <f aca="false">IFERROR(VLOOKUP(B7,'Product Master'!$A:$E,5,0),"")</f>
        <v>CA12</v>
      </c>
      <c r="E7" s="14" t="str">
        <f aca="false">IFERROR(VLOOKUP(B7,'Product Master'!$A:$D,4,0),"")</f>
        <v>Dry Goods &amp; Pantry</v>
      </c>
      <c r="F7" s="15"/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15</v>
      </c>
      <c r="L7" s="16" t="s">
        <v>15</v>
      </c>
      <c r="M7" s="16" t="s">
        <v>15</v>
      </c>
      <c r="N7" s="1" t="s">
        <v>360</v>
      </c>
    </row>
    <row r="8" customFormat="false" ht="15" hidden="false" customHeight="true" outlineLevel="0" collapsed="false">
      <c r="A8" s="17" t="str">
        <f aca="false">IFERROR(VLOOKUP(B8,'Product Master'!$A:$C,3,0),"")</f>
        <v>BALDOR</v>
      </c>
      <c r="B8" s="18" t="s">
        <v>17</v>
      </c>
      <c r="C8" s="19" t="str">
        <f aca="false">IFERROR(VLOOKUP(B8,'Product Master'!$A:$B,2,0),"")</f>
        <v>PEPPER, BLACK WHOLE</v>
      </c>
      <c r="D8" s="20" t="str">
        <f aca="false">IFERROR(VLOOKUP(B8,'Product Master'!$A:$E,5,0),"")</f>
        <v>ea</v>
      </c>
      <c r="E8" s="14" t="str">
        <f aca="false">IFERROR(VLOOKUP(B8,'Product Master'!$A:$D,4,0),"")</f>
        <v>Dry Goods &amp; Pantry</v>
      </c>
      <c r="F8" s="21"/>
      <c r="G8" s="22" t="s">
        <v>15</v>
      </c>
      <c r="H8" s="22" t="s">
        <v>15</v>
      </c>
      <c r="I8" s="22" t="s">
        <v>15</v>
      </c>
      <c r="J8" s="22" t="s">
        <v>15</v>
      </c>
      <c r="K8" s="22" t="s">
        <v>15</v>
      </c>
      <c r="L8" s="22" t="s">
        <v>15</v>
      </c>
      <c r="M8" s="22" t="s">
        <v>15</v>
      </c>
      <c r="N8" s="1" t="s">
        <v>361</v>
      </c>
    </row>
    <row r="9" customFormat="false" ht="12.75" hidden="false" customHeight="true" outlineLevel="0" collapsed="false">
      <c r="A9" s="23" t="s">
        <v>19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1" t="s">
        <v>13</v>
      </c>
    </row>
    <row r="10" customFormat="false" ht="15" hidden="false" customHeight="true" outlineLevel="0" collapsed="false">
      <c r="A10" s="10" t="str">
        <f aca="false">IFERROR(VLOOKUP(B10,'Product Master'!$A:$C,3,0),"")</f>
        <v>BALDOR</v>
      </c>
      <c r="B10" s="11" t="s">
        <v>20</v>
      </c>
      <c r="C10" s="12" t="str">
        <f aca="false">IFERROR(VLOOKUP(B10,'Product Master'!$A:$B,2,0),"")</f>
        <v>ASPARAGUS, LARGE</v>
      </c>
      <c r="D10" s="13" t="str">
        <f aca="false">IFERROR(VLOOKUP(B10,'Product Master'!$A:$E,5,0),"")</f>
        <v>ea</v>
      </c>
      <c r="E10" s="24" t="str">
        <f aca="false">IFERROR(VLOOKUP(B10,'Product Master'!$A:$D,4,0),"")</f>
        <v>Other</v>
      </c>
      <c r="F10" s="15"/>
      <c r="G10" s="16" t="s">
        <v>15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15</v>
      </c>
      <c r="M10" s="16" t="s">
        <v>15</v>
      </c>
      <c r="N10" s="1" t="s">
        <v>362</v>
      </c>
    </row>
    <row r="11" customFormat="false" ht="15" hidden="false" customHeight="true" outlineLevel="0" collapsed="false">
      <c r="A11" s="17" t="str">
        <f aca="false">IFERROR(VLOOKUP(B11,'Product Master'!$A:$C,3,0),"")</f>
        <v>BALDOR</v>
      </c>
      <c r="B11" s="18" t="s">
        <v>22</v>
      </c>
      <c r="C11" s="19" t="str">
        <f aca="false">IFERROR(VLOOKUP(B11,'Product Master'!$A:$B,2,0),"")</f>
        <v>CARROT, BULK JUMBO/LARGE</v>
      </c>
      <c r="D11" s="20" t="str">
        <f aca="false">IFERROR(VLOOKUP(B11,'Product Master'!$A:$E,5,0),"")</f>
        <v>ea</v>
      </c>
      <c r="E11" s="24" t="str">
        <f aca="false">IFERROR(VLOOKUP(B11,'Product Master'!$A:$D,4,0),"")</f>
        <v>Other</v>
      </c>
      <c r="F11" s="21"/>
      <c r="G11" s="22" t="s">
        <v>15</v>
      </c>
      <c r="H11" s="22" t="s">
        <v>15</v>
      </c>
      <c r="I11" s="22" t="s">
        <v>15</v>
      </c>
      <c r="J11" s="22" t="s">
        <v>15</v>
      </c>
      <c r="K11" s="22" t="s">
        <v>15</v>
      </c>
      <c r="L11" s="22" t="s">
        <v>15</v>
      </c>
      <c r="M11" s="22" t="s">
        <v>15</v>
      </c>
      <c r="N11" s="1" t="s">
        <v>363</v>
      </c>
    </row>
    <row r="12" customFormat="false" ht="15" hidden="false" customHeight="true" outlineLevel="0" collapsed="false">
      <c r="A12" s="10" t="str">
        <f aca="false">IFERROR(VLOOKUP(B12,'Product Master'!$A:$C,3,0),"")</f>
        <v>BALDOR</v>
      </c>
      <c r="B12" s="11" t="s">
        <v>364</v>
      </c>
      <c r="C12" s="12" t="str">
        <f aca="false">IFERROR(VLOOKUP(B12,'Product Master'!$A:$B,2,0),"")</f>
        <v>LEEKS</v>
      </c>
      <c r="D12" s="13" t="str">
        <f aca="false">IFERROR(VLOOKUP(B12,'Product Master'!$A:$E,5,0),"")</f>
        <v>ea</v>
      </c>
      <c r="E12" s="24" t="str">
        <f aca="false">IFERROR(VLOOKUP(B12,'Product Master'!$A:$D,4,0),"")</f>
        <v>Other</v>
      </c>
      <c r="F12" s="15"/>
      <c r="G12" s="16" t="s">
        <v>15</v>
      </c>
      <c r="H12" s="16" t="s">
        <v>15</v>
      </c>
      <c r="I12" s="16" t="s">
        <v>15</v>
      </c>
      <c r="J12" s="16" t="s">
        <v>15</v>
      </c>
      <c r="K12" s="16" t="s">
        <v>15</v>
      </c>
      <c r="L12" s="16" t="s">
        <v>15</v>
      </c>
      <c r="M12" s="16" t="s">
        <v>15</v>
      </c>
      <c r="N12" s="1" t="s">
        <v>365</v>
      </c>
    </row>
    <row r="13" customFormat="false" ht="12.75" hidden="false" customHeight="true" outlineLevel="0" collapsed="false">
      <c r="A13" s="25" t="s">
        <v>24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1" t="s">
        <v>13</v>
      </c>
    </row>
    <row r="14" customFormat="false" ht="15" hidden="false" customHeight="true" outlineLevel="0" collapsed="false">
      <c r="A14" s="10" t="str">
        <f aca="false">IFERROR(VLOOKUP(B14,'Product Master'!$A:$C,3,0),"")</f>
        <v>BALDOR</v>
      </c>
      <c r="B14" s="11" t="s">
        <v>25</v>
      </c>
      <c r="C14" s="12" t="str">
        <f aca="false">IFERROR(VLOOKUP(B14,'Product Master'!$A:$B,2,0),"")</f>
        <v>EGGS, LARGE AA</v>
      </c>
      <c r="D14" s="13" t="str">
        <f aca="false">IFERROR(VLOOKUP(B14,'Product Master'!$A:$E,5,0),"")</f>
        <v>CA180</v>
      </c>
      <c r="E14" s="26" t="str">
        <f aca="false">IFERROR(VLOOKUP(B14,'Product Master'!$A:$D,4,0),"")</f>
        <v>Produce - Herbs</v>
      </c>
      <c r="F14" s="15"/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15</v>
      </c>
      <c r="N14" s="1" t="s">
        <v>366</v>
      </c>
    </row>
    <row r="15" customFormat="false" ht="15" hidden="false" customHeight="true" outlineLevel="0" collapsed="false">
      <c r="A15" s="17" t="str">
        <f aca="false">IFERROR(VLOOKUP(B15,'Product Master'!$A:$C,3,0),"")</f>
        <v>BALDOR</v>
      </c>
      <c r="B15" s="18" t="s">
        <v>27</v>
      </c>
      <c r="C15" s="19" t="str">
        <f aca="false">IFERROR(VLOOKUP(B15,'Product Master'!$A:$B,2,0),"")</f>
        <v>LIQUID EGG, WHOLE</v>
      </c>
      <c r="D15" s="20" t="str">
        <f aca="false">IFERROR(VLOOKUP(B15,'Product Master'!$A:$E,5,0),"")</f>
        <v>CA15</v>
      </c>
      <c r="E15" s="26" t="str">
        <f aca="false">IFERROR(VLOOKUP(B15,'Product Master'!$A:$D,4,0),"")</f>
        <v>Produce - Herbs</v>
      </c>
      <c r="F15" s="21"/>
      <c r="G15" s="22" t="s">
        <v>15</v>
      </c>
      <c r="H15" s="22" t="s">
        <v>15</v>
      </c>
      <c r="I15" s="22" t="s">
        <v>15</v>
      </c>
      <c r="J15" s="22" t="s">
        <v>15</v>
      </c>
      <c r="K15" s="22" t="s">
        <v>15</v>
      </c>
      <c r="L15" s="22" t="s">
        <v>15</v>
      </c>
      <c r="M15" s="22" t="s">
        <v>15</v>
      </c>
      <c r="N15" s="1" t="s">
        <v>367</v>
      </c>
    </row>
    <row r="16" customFormat="false" ht="15" hidden="false" customHeight="true" outlineLevel="0" collapsed="false">
      <c r="A16" s="10" t="str">
        <f aca="false">IFERROR(VLOOKUP(B16,'Product Master'!$A:$C,3,0),"")</f>
        <v>BALDOR</v>
      </c>
      <c r="B16" s="11" t="s">
        <v>29</v>
      </c>
      <c r="C16" s="12" t="str">
        <f aca="false">IFERROR(VLOOKUP(B16,'Product Master'!$A:$B,2,0),"")</f>
        <v>MILK, WHOLE</v>
      </c>
      <c r="D16" s="13" t="str">
        <f aca="false">IFERROR(VLOOKUP(B16,'Product Master'!$A:$E,5,0),"")</f>
        <v>ea</v>
      </c>
      <c r="E16" s="26" t="str">
        <f aca="false">IFERROR(VLOOKUP(B16,'Product Master'!$A:$D,4,0),"")</f>
        <v>Produce - Herbs</v>
      </c>
      <c r="F16" s="15"/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" t="s">
        <v>368</v>
      </c>
    </row>
    <row r="17" customFormat="false" ht="12.75" hidden="false" customHeight="true" outlineLevel="0" collapsed="false">
      <c r="A17" s="27" t="s">
        <v>31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1" t="s">
        <v>13</v>
      </c>
    </row>
    <row r="18" customFormat="false" ht="15" hidden="false" customHeight="true" outlineLevel="0" collapsed="false">
      <c r="A18" s="10" t="str">
        <f aca="false">IFERROR(VLOOKUP(B18,'Product Master'!$A:$C,3,0),"")</f>
        <v>BALDOR</v>
      </c>
      <c r="B18" s="11" t="s">
        <v>34</v>
      </c>
      <c r="C18" s="12" t="str">
        <f aca="false">IFERROR(VLOOKUP(B18,'Product Master'!$A:$B,2,0),"")</f>
        <v>ARUGULA, BABY BULK 1.5LB [B&amp;W]</v>
      </c>
      <c r="D18" s="13" t="str">
        <f aca="false">IFERROR(VLOOKUP(B18,'Product Master'!$A:$E,5,0),"")</f>
        <v>CA2</v>
      </c>
      <c r="E18" s="28" t="str">
        <f aca="false">IFERROR(VLOOKUP(B18,'Product Master'!$A:$D,4,0),"")</f>
        <v>Produce - Veg &amp; Fruit</v>
      </c>
      <c r="F18" s="15"/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" t="s">
        <v>369</v>
      </c>
    </row>
    <row r="19" customFormat="false" ht="15" hidden="false" customHeight="true" outlineLevel="0" collapsed="false">
      <c r="A19" s="17" t="str">
        <f aca="false">IFERROR(VLOOKUP(B19,'Product Master'!$A:$C,3,0),"")</f>
        <v>BALDOR</v>
      </c>
      <c r="B19" s="18" t="s">
        <v>370</v>
      </c>
      <c r="C19" s="19" t="str">
        <f aca="false">IFERROR(VLOOKUP(B19,'Product Master'!$A:$B,2,0),"")</f>
        <v>BASIL, FRESH BUNCHED</v>
      </c>
      <c r="D19" s="20" t="str">
        <f aca="false">IFERROR(VLOOKUP(B19,'Product Master'!$A:$E,5,0),"")</f>
        <v>lb</v>
      </c>
      <c r="E19" s="28" t="str">
        <f aca="false">IFERROR(VLOOKUP(B19,'Product Master'!$A:$D,4,0),"")</f>
        <v>Produce - Veg &amp; Fruit</v>
      </c>
      <c r="F19" s="21"/>
      <c r="G19" s="22" t="s">
        <v>15</v>
      </c>
      <c r="H19" s="22" t="s">
        <v>15</v>
      </c>
      <c r="I19" s="22" t="s">
        <v>15</v>
      </c>
      <c r="J19" s="22" t="s">
        <v>15</v>
      </c>
      <c r="K19" s="22" t="s">
        <v>15</v>
      </c>
      <c r="L19" s="22" t="s">
        <v>15</v>
      </c>
      <c r="M19" s="22" t="s">
        <v>15</v>
      </c>
      <c r="N19" s="1" t="s">
        <v>371</v>
      </c>
    </row>
    <row r="20" customFormat="false" ht="15" hidden="false" customHeight="true" outlineLevel="0" collapsed="false">
      <c r="A20" s="10" t="str">
        <f aca="false">IFERROR(VLOOKUP(B20,'Product Master'!$A:$C,3,0),"")</f>
        <v>BALDOR</v>
      </c>
      <c r="B20" s="11" t="s">
        <v>36</v>
      </c>
      <c r="C20" s="12" t="str">
        <f aca="false">IFERROR(VLOOKUP(B20,'Product Master'!$A:$B,2,0),"")</f>
        <v>BEETS, RED MED-LARGE LOOSE</v>
      </c>
      <c r="D20" s="13" t="str">
        <f aca="false">IFERROR(VLOOKUP(B20,'Product Master'!$A:$E,5,0),"")</f>
        <v>CA25</v>
      </c>
      <c r="E20" s="28" t="str">
        <f aca="false">IFERROR(VLOOKUP(B20,'Product Master'!$A:$D,4,0),"")</f>
        <v>Produce - Veg &amp; Fruit</v>
      </c>
      <c r="F20" s="15"/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" t="s">
        <v>372</v>
      </c>
    </row>
    <row r="21" customFormat="false" ht="15" hidden="false" customHeight="true" outlineLevel="0" collapsed="false">
      <c r="A21" s="17" t="str">
        <f aca="false">IFERROR(VLOOKUP(B21,'Product Master'!$A:$C,3,0),"")</f>
        <v>BALDOR</v>
      </c>
      <c r="B21" s="18" t="s">
        <v>373</v>
      </c>
      <c r="C21" s="19" t="str">
        <f aca="false">IFERROR(VLOOKUP(B21,'Product Master'!$A:$B,2,0),"")</f>
        <v>BROCCOLI, RABE</v>
      </c>
      <c r="D21" s="20" t="str">
        <f aca="false">IFERROR(VLOOKUP(B21,'Product Master'!$A:$E,5,0),"")</f>
        <v>CA20</v>
      </c>
      <c r="E21" s="28" t="str">
        <f aca="false">IFERROR(VLOOKUP(B21,'Product Master'!$A:$D,4,0),"")</f>
        <v>Produce - Veg &amp; Fruit</v>
      </c>
      <c r="F21" s="21"/>
      <c r="G21" s="22" t="s">
        <v>15</v>
      </c>
      <c r="H21" s="22" t="s">
        <v>15</v>
      </c>
      <c r="I21" s="22" t="s">
        <v>15</v>
      </c>
      <c r="J21" s="22" t="s">
        <v>15</v>
      </c>
      <c r="K21" s="22" t="s">
        <v>15</v>
      </c>
      <c r="L21" s="22" t="s">
        <v>15</v>
      </c>
      <c r="M21" s="22" t="s">
        <v>15</v>
      </c>
      <c r="N21" s="1" t="s">
        <v>374</v>
      </c>
    </row>
    <row r="22" customFormat="false" ht="15" hidden="false" customHeight="true" outlineLevel="0" collapsed="false">
      <c r="A22" s="10" t="str">
        <f aca="false">IFERROR(VLOOKUP(B22,'Product Master'!$A:$C,3,0),"")</f>
        <v>BALDOR</v>
      </c>
      <c r="B22" s="11" t="s">
        <v>38</v>
      </c>
      <c r="C22" s="12" t="str">
        <f aca="false">IFERROR(VLOOKUP(B22,'Product Master'!$A:$B,2,0),"")</f>
        <v>CARROTS, DICED 1/4"</v>
      </c>
      <c r="D22" s="13" t="str">
        <f aca="false">IFERROR(VLOOKUP(B22,'Product Master'!$A:$E,5,0),"")</f>
        <v>CA4</v>
      </c>
      <c r="E22" s="28" t="str">
        <f aca="false">IFERROR(VLOOKUP(B22,'Product Master'!$A:$D,4,0),"")</f>
        <v>Produce - Veg &amp; Fruit</v>
      </c>
      <c r="F22" s="15"/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6" t="s">
        <v>15</v>
      </c>
      <c r="N22" s="1" t="s">
        <v>375</v>
      </c>
    </row>
    <row r="23" customFormat="false" ht="15" hidden="false" customHeight="true" outlineLevel="0" collapsed="false">
      <c r="A23" s="17" t="str">
        <f aca="false">IFERROR(VLOOKUP(B23,'Product Master'!$A:$C,3,0),"")</f>
        <v>BALDOR</v>
      </c>
      <c r="B23" s="18" t="s">
        <v>40</v>
      </c>
      <c r="C23" s="19" t="str">
        <f aca="false">IFERROR(VLOOKUP(B23,'Product Master'!$A:$B,2,0),"")</f>
        <v>CELERY, DICED 1/4"</v>
      </c>
      <c r="D23" s="20" t="str">
        <f aca="false">IFERROR(VLOOKUP(B23,'Product Master'!$A:$E,5,0),"")</f>
        <v>CA4</v>
      </c>
      <c r="E23" s="28" t="str">
        <f aca="false">IFERROR(VLOOKUP(B23,'Product Master'!$A:$D,4,0),"")</f>
        <v>Produce - Veg &amp; Fruit</v>
      </c>
      <c r="F23" s="21"/>
      <c r="G23" s="22" t="s">
        <v>15</v>
      </c>
      <c r="H23" s="22" t="s">
        <v>15</v>
      </c>
      <c r="I23" s="22" t="s">
        <v>15</v>
      </c>
      <c r="J23" s="22" t="s">
        <v>15</v>
      </c>
      <c r="K23" s="22" t="s">
        <v>15</v>
      </c>
      <c r="L23" s="22" t="s">
        <v>15</v>
      </c>
      <c r="M23" s="22" t="s">
        <v>15</v>
      </c>
      <c r="N23" s="1" t="s">
        <v>376</v>
      </c>
    </row>
    <row r="24" customFormat="false" ht="15" hidden="false" customHeight="true" outlineLevel="0" collapsed="false">
      <c r="A24" s="10" t="str">
        <f aca="false">IFERROR(VLOOKUP(B24,'Product Master'!$A:$C,3,0),"")</f>
        <v>BALDOR</v>
      </c>
      <c r="B24" s="11" t="s">
        <v>41</v>
      </c>
      <c r="C24" s="12" t="str">
        <f aca="false">IFERROR(VLOOKUP(B24,'Product Master'!$A:$B,2,0),"")</f>
        <v>CELERY, LOOSE</v>
      </c>
      <c r="D24" s="13" t="str">
        <f aca="false">IFERROR(VLOOKUP(B24,'Product Master'!$A:$E,5,0),"")</f>
        <v>CA30</v>
      </c>
      <c r="E24" s="28" t="str">
        <f aca="false">IFERROR(VLOOKUP(B24,'Product Master'!$A:$D,4,0),"")</f>
        <v>Produce - Veg &amp; Fruit</v>
      </c>
      <c r="F24" s="15"/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6" t="s">
        <v>15</v>
      </c>
      <c r="N24" s="1" t="s">
        <v>377</v>
      </c>
    </row>
    <row r="25" customFormat="false" ht="15" hidden="false" customHeight="true" outlineLevel="0" collapsed="false">
      <c r="A25" s="17" t="str">
        <f aca="false">IFERROR(VLOOKUP(B25,'Product Master'!$A:$C,3,0),"")</f>
        <v>BALDOR</v>
      </c>
      <c r="B25" s="18" t="s">
        <v>43</v>
      </c>
      <c r="C25" s="19" t="str">
        <f aca="false">IFERROR(VLOOKUP(B25,'Product Master'!$A:$B,2,0),"")</f>
        <v>CHIVES, FRESH</v>
      </c>
      <c r="D25" s="20" t="str">
        <f aca="false">IFERROR(VLOOKUP(B25,'Product Master'!$A:$E,5,0),"")</f>
        <v>CA1</v>
      </c>
      <c r="E25" s="28" t="str">
        <f aca="false">IFERROR(VLOOKUP(B25,'Product Master'!$A:$D,4,0),"")</f>
        <v>Produce - Veg &amp; Fruit</v>
      </c>
      <c r="F25" s="21"/>
      <c r="G25" s="22" t="s">
        <v>15</v>
      </c>
      <c r="H25" s="22" t="s">
        <v>15</v>
      </c>
      <c r="I25" s="22" t="s">
        <v>15</v>
      </c>
      <c r="J25" s="22" t="s">
        <v>15</v>
      </c>
      <c r="K25" s="22" t="s">
        <v>15</v>
      </c>
      <c r="L25" s="22" t="s">
        <v>15</v>
      </c>
      <c r="M25" s="22" t="s">
        <v>15</v>
      </c>
      <c r="N25" s="1" t="s">
        <v>378</v>
      </c>
    </row>
    <row r="26" customFormat="false" ht="15" hidden="false" customHeight="true" outlineLevel="0" collapsed="false">
      <c r="A26" s="10" t="str">
        <f aca="false">IFERROR(VLOOKUP(B26,'Product Master'!$A:$C,3,0),"")</f>
        <v>BALDOR</v>
      </c>
      <c r="B26" s="11" t="s">
        <v>379</v>
      </c>
      <c r="C26" s="12" t="str">
        <f aca="false">IFERROR(VLOOKUP(B26,'Product Master'!$A:$B,2,0),"")</f>
        <v>DILL, FRESH</v>
      </c>
      <c r="D26" s="13" t="str">
        <f aca="false">IFERROR(VLOOKUP(B26,'Product Master'!$A:$E,5,0),"")</f>
        <v>CA1</v>
      </c>
      <c r="E26" s="28" t="str">
        <f aca="false">IFERROR(VLOOKUP(B26,'Product Master'!$A:$D,4,0),"")</f>
        <v>Produce - Veg &amp; Fruit</v>
      </c>
      <c r="F26" s="15"/>
      <c r="G26" s="16" t="s">
        <v>15</v>
      </c>
      <c r="H26" s="16" t="s">
        <v>15</v>
      </c>
      <c r="I26" s="16" t="s">
        <v>15</v>
      </c>
      <c r="J26" s="16" t="s">
        <v>15</v>
      </c>
      <c r="K26" s="16" t="s">
        <v>15</v>
      </c>
      <c r="L26" s="16" t="s">
        <v>15</v>
      </c>
      <c r="M26" s="16" t="s">
        <v>15</v>
      </c>
      <c r="N26" s="1" t="s">
        <v>378</v>
      </c>
    </row>
    <row r="27" customFormat="false" ht="15" hidden="false" customHeight="true" outlineLevel="0" collapsed="false">
      <c r="A27" s="17" t="str">
        <f aca="false">IFERROR(VLOOKUP(B27,'Product Master'!$A:$C,3,0),"")</f>
        <v>BALDOR</v>
      </c>
      <c r="B27" s="18" t="s">
        <v>380</v>
      </c>
      <c r="C27" s="19" t="str">
        <f aca="false">IFERROR(VLOOKUP(B27,'Product Master'!$A:$B,2,0),"")</f>
        <v>EGGPLANT</v>
      </c>
      <c r="D27" s="20" t="str">
        <f aca="false">IFERROR(VLOOKUP(B27,'Product Master'!$A:$E,5,0),"")</f>
        <v>CA20</v>
      </c>
      <c r="E27" s="28" t="str">
        <f aca="false">IFERROR(VLOOKUP(B27,'Product Master'!$A:$D,4,0),"")</f>
        <v>Produce - Veg &amp; Fruit</v>
      </c>
      <c r="F27" s="21"/>
      <c r="G27" s="22" t="s">
        <v>15</v>
      </c>
      <c r="H27" s="22" t="s">
        <v>15</v>
      </c>
      <c r="I27" s="22" t="s">
        <v>15</v>
      </c>
      <c r="J27" s="22" t="s">
        <v>15</v>
      </c>
      <c r="K27" s="22" t="s">
        <v>15</v>
      </c>
      <c r="L27" s="22" t="s">
        <v>15</v>
      </c>
      <c r="M27" s="22" t="s">
        <v>15</v>
      </c>
      <c r="N27" s="1" t="s">
        <v>381</v>
      </c>
    </row>
    <row r="28" customFormat="false" ht="15" hidden="false" customHeight="true" outlineLevel="0" collapsed="false">
      <c r="A28" s="10" t="str">
        <f aca="false">IFERROR(VLOOKUP(B28,'Product Master'!$A:$C,3,0),"")</f>
        <v>BALDOR</v>
      </c>
      <c r="B28" s="11" t="s">
        <v>49</v>
      </c>
      <c r="C28" s="12" t="str">
        <f aca="false">IFERROR(VLOOKUP(B28,'Product Master'!$A:$B,2,0),"")</f>
        <v>FENNEL, ANISE</v>
      </c>
      <c r="D28" s="13" t="str">
        <f aca="false">IFERROR(VLOOKUP(B28,'Product Master'!$A:$E,5,0),"")</f>
        <v>CA24</v>
      </c>
      <c r="E28" s="28" t="str">
        <f aca="false">IFERROR(VLOOKUP(B28,'Product Master'!$A:$D,4,0),"")</f>
        <v>Produce - Veg &amp; Fruit</v>
      </c>
      <c r="F28" s="15"/>
      <c r="G28" s="16" t="s">
        <v>15</v>
      </c>
      <c r="H28" s="16" t="s">
        <v>15</v>
      </c>
      <c r="I28" s="16" t="s">
        <v>15</v>
      </c>
      <c r="J28" s="16" t="s">
        <v>15</v>
      </c>
      <c r="K28" s="16" t="s">
        <v>15</v>
      </c>
      <c r="L28" s="16" t="s">
        <v>15</v>
      </c>
      <c r="M28" s="16" t="s">
        <v>15</v>
      </c>
      <c r="N28" s="1" t="s">
        <v>363</v>
      </c>
    </row>
    <row r="29" customFormat="false" ht="15" hidden="false" customHeight="true" outlineLevel="0" collapsed="false">
      <c r="A29" s="17" t="str">
        <f aca="false">IFERROR(VLOOKUP(B29,'Product Master'!$A:$C,3,0),"")</f>
        <v>BALDOR</v>
      </c>
      <c r="B29" s="18" t="s">
        <v>51</v>
      </c>
      <c r="C29" s="19" t="str">
        <f aca="false">IFERROR(VLOOKUP(B29,'Product Master'!$A:$B,2,0),"")</f>
        <v>GARLIC, PEELED 5LB</v>
      </c>
      <c r="D29" s="20" t="str">
        <f aca="false">IFERROR(VLOOKUP(B29,'Product Master'!$A:$E,5,0),"")</f>
        <v>CA5</v>
      </c>
      <c r="E29" s="28" t="str">
        <f aca="false">IFERROR(VLOOKUP(B29,'Product Master'!$A:$D,4,0),"")</f>
        <v>Produce - Veg &amp; Fruit</v>
      </c>
      <c r="F29" s="21"/>
      <c r="G29" s="22" t="s">
        <v>15</v>
      </c>
      <c r="H29" s="22" t="s">
        <v>15</v>
      </c>
      <c r="I29" s="22" t="s">
        <v>15</v>
      </c>
      <c r="J29" s="22" t="s">
        <v>15</v>
      </c>
      <c r="K29" s="22" t="s">
        <v>15</v>
      </c>
      <c r="L29" s="22" t="s">
        <v>15</v>
      </c>
      <c r="M29" s="22" t="s">
        <v>15</v>
      </c>
      <c r="N29" s="1" t="s">
        <v>382</v>
      </c>
    </row>
    <row r="30" customFormat="false" ht="15" hidden="false" customHeight="true" outlineLevel="0" collapsed="false">
      <c r="A30" s="10" t="str">
        <f aca="false">IFERROR(VLOOKUP(B30,'Product Master'!$A:$C,3,0),"")</f>
        <v>BALDOR</v>
      </c>
      <c r="B30" s="11" t="s">
        <v>383</v>
      </c>
      <c r="C30" s="12" t="str">
        <f aca="false">IFERROR(VLOOKUP(B30,'Product Master'!$A:$B,2,0),"")</f>
        <v>KALE, LACINATO</v>
      </c>
      <c r="D30" s="13" t="str">
        <f aca="false">IFERROR(VLOOKUP(B30,'Product Master'!$A:$E,5,0),"")</f>
        <v>CA12</v>
      </c>
      <c r="E30" s="28" t="str">
        <f aca="false">IFERROR(VLOOKUP(B30,'Product Master'!$A:$D,4,0),"")</f>
        <v>Produce - Veg &amp; Fruit</v>
      </c>
      <c r="F30" s="15"/>
      <c r="G30" s="16" t="s">
        <v>15</v>
      </c>
      <c r="H30" s="16" t="s">
        <v>15</v>
      </c>
      <c r="I30" s="16" t="s">
        <v>15</v>
      </c>
      <c r="J30" s="16" t="s">
        <v>15</v>
      </c>
      <c r="K30" s="16" t="s">
        <v>15</v>
      </c>
      <c r="L30" s="16" t="s">
        <v>15</v>
      </c>
      <c r="M30" s="16" t="s">
        <v>15</v>
      </c>
      <c r="N30" s="1" t="s">
        <v>384</v>
      </c>
    </row>
    <row r="31" customFormat="false" ht="15" hidden="false" customHeight="true" outlineLevel="0" collapsed="false">
      <c r="A31" s="17" t="str">
        <f aca="false">IFERROR(VLOOKUP(B31,'Product Master'!$A:$C,3,0),"")</f>
        <v>BALDOR</v>
      </c>
      <c r="B31" s="18" t="s">
        <v>55</v>
      </c>
      <c r="C31" s="19" t="str">
        <f aca="false">IFERROR(VLOOKUP(B31,'Product Master'!$A:$B,2,0),"")</f>
        <v>LEMONS, CHOICE</v>
      </c>
      <c r="D31" s="20" t="str">
        <f aca="false">IFERROR(VLOOKUP(B31,'Product Master'!$A:$E,5,0),"")</f>
        <v>CA200</v>
      </c>
      <c r="E31" s="28" t="str">
        <f aca="false">IFERROR(VLOOKUP(B31,'Product Master'!$A:$D,4,0),"")</f>
        <v>Produce - Veg &amp; Fruit</v>
      </c>
      <c r="F31" s="21"/>
      <c r="G31" s="22" t="s">
        <v>15</v>
      </c>
      <c r="H31" s="22" t="s">
        <v>15</v>
      </c>
      <c r="I31" s="22" t="s">
        <v>15</v>
      </c>
      <c r="J31" s="22" t="s">
        <v>15</v>
      </c>
      <c r="K31" s="22" t="s">
        <v>15</v>
      </c>
      <c r="L31" s="22" t="s">
        <v>15</v>
      </c>
      <c r="M31" s="22" t="s">
        <v>15</v>
      </c>
      <c r="N31" s="1" t="s">
        <v>385</v>
      </c>
    </row>
    <row r="32" customFormat="false" ht="15" hidden="false" customHeight="true" outlineLevel="0" collapsed="false">
      <c r="A32" s="10" t="str">
        <f aca="false">IFERROR(VLOOKUP(B32,'Product Master'!$A:$C,3,0),"")</f>
        <v>BALDOR</v>
      </c>
      <c r="B32" s="11" t="s">
        <v>63</v>
      </c>
      <c r="C32" s="12" t="str">
        <f aca="false">IFERROR(VLOOKUP(B32,'Product Master'!$A:$B,2,0),"")</f>
        <v>MINT, FRESH</v>
      </c>
      <c r="D32" s="13" t="str">
        <f aca="false">IFERROR(VLOOKUP(B32,'Product Master'!$A:$E,5,0),"")</f>
        <v>CA1</v>
      </c>
      <c r="E32" s="28" t="str">
        <f aca="false">IFERROR(VLOOKUP(B32,'Product Master'!$A:$D,4,0),"")</f>
        <v>Produce - Veg &amp; Fruit</v>
      </c>
      <c r="F32" s="15"/>
      <c r="G32" s="16" t="s">
        <v>15</v>
      </c>
      <c r="H32" s="16" t="s">
        <v>15</v>
      </c>
      <c r="I32" s="16" t="s">
        <v>15</v>
      </c>
      <c r="J32" s="16" t="s">
        <v>15</v>
      </c>
      <c r="K32" s="16" t="s">
        <v>15</v>
      </c>
      <c r="L32" s="16" t="s">
        <v>15</v>
      </c>
      <c r="M32" s="16" t="s">
        <v>15</v>
      </c>
      <c r="N32" s="1" t="s">
        <v>386</v>
      </c>
    </row>
    <row r="33" customFormat="false" ht="15" hidden="false" customHeight="true" outlineLevel="0" collapsed="false">
      <c r="A33" s="17" t="str">
        <f aca="false">IFERROR(VLOOKUP(B33,'Product Master'!$A:$C,3,0),"")</f>
        <v>BALDOR</v>
      </c>
      <c r="B33" s="18" t="s">
        <v>65</v>
      </c>
      <c r="C33" s="19" t="str">
        <f aca="false">IFERROR(VLOOKUP(B33,'Product Master'!$A:$B,2,0),"")</f>
        <v>ONION, SPANISH</v>
      </c>
      <c r="D33" s="20" t="str">
        <f aca="false">IFERROR(VLOOKUP(B33,'Product Master'!$A:$E,5,0),"")</f>
        <v>CA50</v>
      </c>
      <c r="E33" s="28" t="str">
        <f aca="false">IFERROR(VLOOKUP(B33,'Product Master'!$A:$D,4,0),"")</f>
        <v>Produce - Veg &amp; Fruit</v>
      </c>
      <c r="F33" s="21"/>
      <c r="G33" s="22" t="s">
        <v>15</v>
      </c>
      <c r="H33" s="22" t="s">
        <v>15</v>
      </c>
      <c r="I33" s="22" t="s">
        <v>15</v>
      </c>
      <c r="J33" s="22" t="s">
        <v>15</v>
      </c>
      <c r="K33" s="22" t="s">
        <v>15</v>
      </c>
      <c r="L33" s="22" t="s">
        <v>15</v>
      </c>
      <c r="M33" s="22" t="s">
        <v>15</v>
      </c>
      <c r="N33" s="1" t="s">
        <v>387</v>
      </c>
    </row>
    <row r="34" customFormat="false" ht="15" hidden="false" customHeight="true" outlineLevel="0" collapsed="false">
      <c r="A34" s="10" t="str">
        <f aca="false">IFERROR(VLOOKUP(B34,'Product Master'!$A:$C,3,0),"")</f>
        <v>BALDOR</v>
      </c>
      <c r="B34" s="11" t="s">
        <v>67</v>
      </c>
      <c r="C34" s="12" t="str">
        <f aca="false">IFERROR(VLOOKUP(B34,'Product Master'!$A:$B,2,0),"")</f>
        <v>ONION, SPANISH DICED 1/4"</v>
      </c>
      <c r="D34" s="13" t="str">
        <f aca="false">IFERROR(VLOOKUP(B34,'Product Master'!$A:$E,5,0),"")</f>
        <v>CA4</v>
      </c>
      <c r="E34" s="28" t="str">
        <f aca="false">IFERROR(VLOOKUP(B34,'Product Master'!$A:$D,4,0),"")</f>
        <v>Produce - Veg &amp; Fruit</v>
      </c>
      <c r="F34" s="15"/>
      <c r="G34" s="16" t="s">
        <v>15</v>
      </c>
      <c r="H34" s="16" t="s">
        <v>15</v>
      </c>
      <c r="I34" s="16" t="s">
        <v>15</v>
      </c>
      <c r="J34" s="16" t="s">
        <v>15</v>
      </c>
      <c r="K34" s="16" t="s">
        <v>15</v>
      </c>
      <c r="L34" s="16" t="s">
        <v>15</v>
      </c>
      <c r="M34" s="16" t="s">
        <v>15</v>
      </c>
      <c r="N34" s="1" t="s">
        <v>388</v>
      </c>
    </row>
    <row r="35" customFormat="false" ht="15" hidden="false" customHeight="true" outlineLevel="0" collapsed="false">
      <c r="A35" s="17" t="str">
        <f aca="false">IFERROR(VLOOKUP(B35,'Product Master'!$A:$C,3,0),"")</f>
        <v>BALDOR</v>
      </c>
      <c r="B35" s="18" t="s">
        <v>73</v>
      </c>
      <c r="C35" s="19" t="str">
        <f aca="false">IFERROR(VLOOKUP(B35,'Product Master'!$A:$B,2,0),"")</f>
        <v>PARSLEY, ITALIAN FRESH</v>
      </c>
      <c r="D35" s="20" t="str">
        <f aca="false">IFERROR(VLOOKUP(B35,'Product Master'!$A:$E,5,0),"")</f>
        <v>CA60</v>
      </c>
      <c r="E35" s="28" t="str">
        <f aca="false">IFERROR(VLOOKUP(B35,'Product Master'!$A:$D,4,0),"")</f>
        <v>Produce - Veg &amp; Fruit</v>
      </c>
      <c r="F35" s="21"/>
      <c r="G35" s="22" t="s">
        <v>15</v>
      </c>
      <c r="H35" s="22" t="s">
        <v>15</v>
      </c>
      <c r="I35" s="22" t="s">
        <v>15</v>
      </c>
      <c r="J35" s="22" t="s">
        <v>15</v>
      </c>
      <c r="K35" s="22" t="s">
        <v>15</v>
      </c>
      <c r="L35" s="22" t="s">
        <v>15</v>
      </c>
      <c r="M35" s="22" t="s">
        <v>15</v>
      </c>
      <c r="N35" s="1" t="s">
        <v>389</v>
      </c>
    </row>
    <row r="36" customFormat="false" ht="15" hidden="false" customHeight="true" outlineLevel="0" collapsed="false">
      <c r="A36" s="10" t="str">
        <f aca="false">IFERROR(VLOOKUP(B36,'Product Master'!$A:$C,3,0),"")</f>
        <v>BALDOR</v>
      </c>
      <c r="B36" s="11" t="s">
        <v>77</v>
      </c>
      <c r="C36" s="12" t="str">
        <f aca="false">IFERROR(VLOOKUP(B36,'Product Master'!$A:$B,2,0),"")</f>
        <v>POTATOES, RUSSET</v>
      </c>
      <c r="D36" s="13" t="str">
        <f aca="false">IFERROR(VLOOKUP(B36,'Product Master'!$A:$E,5,0),"")</f>
        <v>CA50</v>
      </c>
      <c r="E36" s="28" t="str">
        <f aca="false">IFERROR(VLOOKUP(B36,'Product Master'!$A:$D,4,0),"")</f>
        <v>Produce - Veg &amp; Fruit</v>
      </c>
      <c r="F36" s="15"/>
      <c r="G36" s="16" t="s">
        <v>15</v>
      </c>
      <c r="H36" s="16" t="s">
        <v>15</v>
      </c>
      <c r="I36" s="16" t="s">
        <v>15</v>
      </c>
      <c r="J36" s="16" t="s">
        <v>15</v>
      </c>
      <c r="K36" s="16" t="s">
        <v>15</v>
      </c>
      <c r="L36" s="16" t="s">
        <v>15</v>
      </c>
      <c r="M36" s="16" t="s">
        <v>15</v>
      </c>
      <c r="N36" s="1" t="s">
        <v>390</v>
      </c>
    </row>
    <row r="37" customFormat="false" ht="15" hidden="false" customHeight="true" outlineLevel="0" collapsed="false">
      <c r="A37" s="17" t="str">
        <f aca="false">IFERROR(VLOOKUP(B37,'Product Master'!$A:$C,3,0),"")</f>
        <v>BALDOR</v>
      </c>
      <c r="B37" s="18" t="s">
        <v>79</v>
      </c>
      <c r="C37" s="19" t="str">
        <f aca="false">IFERROR(VLOOKUP(B37,'Product Master'!$A:$B,2,0),"")</f>
        <v>POTATOES, YUKON -A-</v>
      </c>
      <c r="D37" s="20" t="str">
        <f aca="false">IFERROR(VLOOKUP(B37,'Product Master'!$A:$E,5,0),"")</f>
        <v>CA50</v>
      </c>
      <c r="E37" s="28" t="str">
        <f aca="false">IFERROR(VLOOKUP(B37,'Product Master'!$A:$D,4,0),"")</f>
        <v>Produce - Veg &amp; Fruit</v>
      </c>
      <c r="F37" s="21"/>
      <c r="G37" s="22" t="s">
        <v>15</v>
      </c>
      <c r="H37" s="22" t="s">
        <v>15</v>
      </c>
      <c r="I37" s="22" t="s">
        <v>15</v>
      </c>
      <c r="J37" s="22" t="s">
        <v>15</v>
      </c>
      <c r="K37" s="22" t="s">
        <v>15</v>
      </c>
      <c r="L37" s="22" t="s">
        <v>15</v>
      </c>
      <c r="M37" s="22" t="s">
        <v>15</v>
      </c>
      <c r="N37" s="1" t="s">
        <v>391</v>
      </c>
    </row>
    <row r="38" customFormat="false" ht="15" hidden="false" customHeight="true" outlineLevel="0" collapsed="false">
      <c r="A38" s="10" t="str">
        <f aca="false">IFERROR(VLOOKUP(B38,'Product Master'!$A:$C,3,0),"")</f>
        <v>BALDOR</v>
      </c>
      <c r="B38" s="11" t="s">
        <v>84</v>
      </c>
      <c r="C38" s="12" t="str">
        <f aca="false">IFERROR(VLOOKUP(B38,'Product Master'!$A:$B,2,0),"")</f>
        <v>ROSEMARY, FRESH</v>
      </c>
      <c r="D38" s="13" t="str">
        <f aca="false">IFERROR(VLOOKUP(B38,'Product Master'!$A:$E,5,0),"")</f>
        <v>lb</v>
      </c>
      <c r="E38" s="28" t="str">
        <f aca="false">IFERROR(VLOOKUP(B38,'Product Master'!$A:$D,4,0),"")</f>
        <v>Produce - Veg &amp; Fruit</v>
      </c>
      <c r="F38" s="15"/>
      <c r="G38" s="16" t="s">
        <v>15</v>
      </c>
      <c r="H38" s="16" t="s">
        <v>15</v>
      </c>
      <c r="I38" s="16" t="s">
        <v>15</v>
      </c>
      <c r="J38" s="16" t="s">
        <v>15</v>
      </c>
      <c r="K38" s="16" t="s">
        <v>15</v>
      </c>
      <c r="L38" s="16" t="s">
        <v>15</v>
      </c>
      <c r="M38" s="16" t="s">
        <v>15</v>
      </c>
      <c r="N38" s="1" t="s">
        <v>392</v>
      </c>
    </row>
    <row r="39" customFormat="false" ht="15" hidden="false" customHeight="true" outlineLevel="0" collapsed="false">
      <c r="A39" s="17" t="str">
        <f aca="false">IFERROR(VLOOKUP(B39,'Product Master'!$A:$C,3,0),"")</f>
        <v>BALDOR</v>
      </c>
      <c r="B39" s="18" t="s">
        <v>86</v>
      </c>
      <c r="C39" s="19" t="str">
        <f aca="false">IFERROR(VLOOKUP(B39,'Product Master'!$A:$B,2,0),"")</f>
        <v>SAGE, FRESH</v>
      </c>
      <c r="D39" s="20" t="str">
        <f aca="false">IFERROR(VLOOKUP(B39,'Product Master'!$A:$E,5,0),"")</f>
        <v>CA1</v>
      </c>
      <c r="E39" s="28" t="str">
        <f aca="false">IFERROR(VLOOKUP(B39,'Product Master'!$A:$D,4,0),"")</f>
        <v>Produce - Veg &amp; Fruit</v>
      </c>
      <c r="F39" s="21"/>
      <c r="G39" s="22" t="s">
        <v>15</v>
      </c>
      <c r="H39" s="22" t="s">
        <v>15</v>
      </c>
      <c r="I39" s="22" t="s">
        <v>15</v>
      </c>
      <c r="J39" s="22" t="s">
        <v>15</v>
      </c>
      <c r="K39" s="22" t="s">
        <v>15</v>
      </c>
      <c r="L39" s="22" t="s">
        <v>15</v>
      </c>
      <c r="M39" s="22" t="s">
        <v>15</v>
      </c>
      <c r="N39" s="1" t="s">
        <v>393</v>
      </c>
    </row>
    <row r="40" customFormat="false" ht="15" hidden="false" customHeight="true" outlineLevel="0" collapsed="false">
      <c r="A40" s="10" t="str">
        <f aca="false">IFERROR(VLOOKUP(B40,'Product Master'!$A:$C,3,0),"")</f>
        <v>BALDOR</v>
      </c>
      <c r="B40" s="11" t="s">
        <v>88</v>
      </c>
      <c r="C40" s="12" t="str">
        <f aca="false">IFERROR(VLOOKUP(B40,'Product Master'!$A:$B,2,0),"")</f>
        <v>SQUASH, GREEN MEDIUM ZUCCHINI</v>
      </c>
      <c r="D40" s="13" t="str">
        <f aca="false">IFERROR(VLOOKUP(B40,'Product Master'!$A:$E,5,0),"")</f>
        <v>CA18</v>
      </c>
      <c r="E40" s="28" t="str">
        <f aca="false">IFERROR(VLOOKUP(B40,'Product Master'!$A:$D,4,0),"")</f>
        <v>Produce - Veg &amp; Fruit</v>
      </c>
      <c r="F40" s="15"/>
      <c r="G40" s="16" t="s">
        <v>15</v>
      </c>
      <c r="H40" s="16" t="s">
        <v>15</v>
      </c>
      <c r="I40" s="16" t="s">
        <v>15</v>
      </c>
      <c r="J40" s="16" t="s">
        <v>15</v>
      </c>
      <c r="K40" s="16" t="s">
        <v>15</v>
      </c>
      <c r="L40" s="16" t="s">
        <v>15</v>
      </c>
      <c r="M40" s="16" t="s">
        <v>15</v>
      </c>
      <c r="N40" s="1" t="s">
        <v>394</v>
      </c>
    </row>
    <row r="41" customFormat="false" ht="15" hidden="false" customHeight="true" outlineLevel="0" collapsed="false">
      <c r="A41" s="17" t="str">
        <f aca="false">IFERROR(VLOOKUP(B41,'Product Master'!$A:$C,3,0),"")</f>
        <v>BALDOR</v>
      </c>
      <c r="B41" s="18" t="s">
        <v>90</v>
      </c>
      <c r="C41" s="19" t="str">
        <f aca="false">IFERROR(VLOOKUP(B41,'Product Master'!$A:$B,2,0),"")</f>
        <v>THYME, FRESH</v>
      </c>
      <c r="D41" s="20" t="str">
        <f aca="false">IFERROR(VLOOKUP(B41,'Product Master'!$A:$E,5,0),"")</f>
        <v>CA1</v>
      </c>
      <c r="E41" s="28" t="str">
        <f aca="false">IFERROR(VLOOKUP(B41,'Product Master'!$A:$D,4,0),"")</f>
        <v>Produce - Veg &amp; Fruit</v>
      </c>
      <c r="F41" s="21"/>
      <c r="G41" s="22" t="s">
        <v>15</v>
      </c>
      <c r="H41" s="22" t="s">
        <v>15</v>
      </c>
      <c r="I41" s="22" t="s">
        <v>15</v>
      </c>
      <c r="J41" s="22" t="s">
        <v>15</v>
      </c>
      <c r="K41" s="22" t="s">
        <v>15</v>
      </c>
      <c r="L41" s="22" t="s">
        <v>15</v>
      </c>
      <c r="M41" s="22" t="s">
        <v>15</v>
      </c>
      <c r="N41" s="1" t="s">
        <v>395</v>
      </c>
    </row>
    <row r="42" customFormat="false" ht="15" hidden="false" customHeight="true" outlineLevel="0" collapsed="false">
      <c r="A42" s="10" t="str">
        <f aca="false">IFERROR(VLOOKUP(B42,'Product Master'!$A:$C,3,0),"")</f>
        <v>BALDOR</v>
      </c>
      <c r="B42" s="11" t="s">
        <v>96</v>
      </c>
      <c r="C42" s="12" t="str">
        <f aca="false">IFERROR(VLOOKUP(B42,'Product Master'!$A:$B,2,0),"")</f>
        <v>TOMATOES, RED CHERRY PINT</v>
      </c>
      <c r="D42" s="13" t="str">
        <f aca="false">IFERROR(VLOOKUP(B42,'Product Master'!$A:$E,5,0),"")</f>
        <v>CA12</v>
      </c>
      <c r="E42" s="28" t="str">
        <f aca="false">IFERROR(VLOOKUP(B42,'Product Master'!$A:$D,4,0),"")</f>
        <v>Produce - Veg &amp; Fruit</v>
      </c>
      <c r="F42" s="15"/>
      <c r="G42" s="16" t="s">
        <v>15</v>
      </c>
      <c r="H42" s="16" t="s">
        <v>15</v>
      </c>
      <c r="I42" s="16" t="s">
        <v>15</v>
      </c>
      <c r="J42" s="16" t="s">
        <v>15</v>
      </c>
      <c r="K42" s="16" t="s">
        <v>15</v>
      </c>
      <c r="L42" s="16" t="s">
        <v>15</v>
      </c>
      <c r="M42" s="16" t="s">
        <v>15</v>
      </c>
      <c r="N42" s="1" t="s">
        <v>396</v>
      </c>
    </row>
    <row r="43" customFormat="false" ht="19.5" hidden="false" customHeight="true" outlineLevel="0" collapsed="false">
      <c r="A43" s="29" t="s">
        <v>98</v>
      </c>
      <c r="B43" s="29"/>
      <c r="C43" s="30" t="s">
        <v>99</v>
      </c>
      <c r="D43" s="30"/>
      <c r="E43" s="30"/>
      <c r="F43" s="31" t="s">
        <v>100</v>
      </c>
      <c r="G43" s="31"/>
      <c r="H43" s="31"/>
      <c r="I43" s="31"/>
      <c r="J43" s="31"/>
      <c r="K43" s="31"/>
      <c r="L43" s="31"/>
      <c r="M43" s="31"/>
      <c r="N43" s="1" t="s">
        <v>11</v>
      </c>
    </row>
    <row r="44" customFormat="false" ht="12.75" hidden="false" customHeight="true" outlineLevel="0" collapsed="false">
      <c r="A44" s="32" t="s">
        <v>101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1" t="s">
        <v>13</v>
      </c>
    </row>
    <row r="45" customFormat="false" ht="15" hidden="false" customHeight="true" outlineLevel="0" collapsed="false">
      <c r="A45" s="10" t="str">
        <f aca="false">IFERROR(VLOOKUP(B45,'Product Master'!$A:$C,3,0),"")</f>
        <v>ATALANTA</v>
      </c>
      <c r="B45" s="11" t="s">
        <v>103</v>
      </c>
      <c r="C45" s="12" t="str">
        <f aca="false">IFERROR(VLOOKUP(B45,'Product Master'!$A:$B,2,0),"")</f>
        <v>GRANA PADANO, 12 MOS [AGRIFORM]</v>
      </c>
      <c r="D45" s="13" t="str">
        <f aca="false">IFERROR(VLOOKUP(B45,'Product Master'!$A:$E,5,0),"")</f>
        <v>lb</v>
      </c>
      <c r="E45" s="33" t="str">
        <f aca="false">IFERROR(VLOOKUP(B45,'Product Master'!$A:$D,4,0),"")</f>
        <v>Dairy &amp; Eggs</v>
      </c>
      <c r="F45" s="15"/>
      <c r="G45" s="16" t="s">
        <v>15</v>
      </c>
      <c r="H45" s="16" t="s">
        <v>15</v>
      </c>
      <c r="I45" s="16" t="s">
        <v>15</v>
      </c>
      <c r="J45" s="16" t="s">
        <v>15</v>
      </c>
      <c r="K45" s="16" t="s">
        <v>15</v>
      </c>
      <c r="L45" s="16" t="s">
        <v>15</v>
      </c>
      <c r="M45" s="16" t="s">
        <v>15</v>
      </c>
      <c r="N45" s="1" t="s">
        <v>397</v>
      </c>
    </row>
    <row r="46" customFormat="false" ht="15" hidden="false" customHeight="true" outlineLevel="0" collapsed="false">
      <c r="A46" s="17" t="str">
        <f aca="false">IFERROR(VLOOKUP(B46,'Product Master'!$A:$C,3,0),"")</f>
        <v>ATALANTA</v>
      </c>
      <c r="B46" s="18" t="s">
        <v>105</v>
      </c>
      <c r="C46" s="19" t="str">
        <f aca="false">IFERROR(VLOOKUP(B46,'Product Master'!$A:$B,2,0),"")</f>
        <v>PARMIGIANO REGGIANO, 12 MONTH [AGRIFORM]</v>
      </c>
      <c r="D46" s="20" t="str">
        <f aca="false">IFERROR(VLOOKUP(B46,'Product Master'!$A:$E,5,0),"")</f>
        <v>lb</v>
      </c>
      <c r="E46" s="33" t="str">
        <f aca="false">IFERROR(VLOOKUP(B46,'Product Master'!$A:$D,4,0),"")</f>
        <v>Dairy &amp; Eggs</v>
      </c>
      <c r="F46" s="21"/>
      <c r="G46" s="22" t="s">
        <v>15</v>
      </c>
      <c r="H46" s="22" t="s">
        <v>15</v>
      </c>
      <c r="I46" s="22" t="s">
        <v>15</v>
      </c>
      <c r="J46" s="22" t="s">
        <v>15</v>
      </c>
      <c r="K46" s="22" t="s">
        <v>15</v>
      </c>
      <c r="L46" s="22" t="s">
        <v>15</v>
      </c>
      <c r="M46" s="22" t="s">
        <v>15</v>
      </c>
      <c r="N46" s="1" t="s">
        <v>398</v>
      </c>
    </row>
    <row r="47" customFormat="false" ht="12.75" hidden="false" customHeight="true" outlineLevel="0" collapsed="false">
      <c r="A47" s="23" t="s">
        <v>19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1" t="s">
        <v>13</v>
      </c>
    </row>
    <row r="48" customFormat="false" ht="15" hidden="false" customHeight="true" outlineLevel="0" collapsed="false">
      <c r="A48" s="10" t="str">
        <f aca="false">IFERROR(VLOOKUP(B48,'Product Master'!$A:$C,3,0),"")</f>
        <v>ATALANTA</v>
      </c>
      <c r="B48" s="11" t="s">
        <v>117</v>
      </c>
      <c r="C48" s="12" t="str">
        <f aca="false">IFERROR(VLOOKUP(B48,'Product Master'!$A:$B,2,0),"")</f>
        <v>GUANCIALE [SALUMIFICIO SAN CARLO]</v>
      </c>
      <c r="D48" s="13" t="str">
        <f aca="false">IFERROR(VLOOKUP(B48,'Product Master'!$A:$E,5,0),"")</f>
        <v>lb</v>
      </c>
      <c r="E48" s="24" t="str">
        <f aca="false">IFERROR(VLOOKUP(B48,'Product Master'!$A:$D,4,0),"")</f>
        <v>Other</v>
      </c>
      <c r="F48" s="15"/>
      <c r="G48" s="16" t="s">
        <v>15</v>
      </c>
      <c r="H48" s="16" t="s">
        <v>15</v>
      </c>
      <c r="I48" s="16" t="s">
        <v>15</v>
      </c>
      <c r="J48" s="16" t="s">
        <v>15</v>
      </c>
      <c r="K48" s="16" t="s">
        <v>15</v>
      </c>
      <c r="L48" s="16" t="s">
        <v>15</v>
      </c>
      <c r="M48" s="16" t="s">
        <v>15</v>
      </c>
      <c r="N48" s="1" t="s">
        <v>399</v>
      </c>
    </row>
    <row r="49" customFormat="false" ht="15" hidden="false" customHeight="true" outlineLevel="0" collapsed="false">
      <c r="A49" s="17" t="str">
        <f aca="false">IFERROR(VLOOKUP(B49,'Product Master'!$A:$C,3,0),"")</f>
        <v>ATALANTA</v>
      </c>
      <c r="B49" s="18" t="s">
        <v>400</v>
      </c>
      <c r="C49" s="19" t="str">
        <f aca="false">IFERROR(VLOOKUP(B49,'Product Master'!$A:$B,2,0),"")</f>
        <v>SPECK IGP [RECLA]</v>
      </c>
      <c r="D49" s="20" t="str">
        <f aca="false">IFERROR(VLOOKUP(B49,'Product Master'!$A:$E,5,0),"")</f>
        <v>lb</v>
      </c>
      <c r="E49" s="24" t="str">
        <f aca="false">IFERROR(VLOOKUP(B49,'Product Master'!$A:$D,4,0),"")</f>
        <v>Other</v>
      </c>
      <c r="F49" s="21"/>
      <c r="G49" s="22" t="s">
        <v>15</v>
      </c>
      <c r="H49" s="22" t="s">
        <v>15</v>
      </c>
      <c r="I49" s="22" t="s">
        <v>15</v>
      </c>
      <c r="J49" s="22" t="s">
        <v>15</v>
      </c>
      <c r="K49" s="22" t="s">
        <v>15</v>
      </c>
      <c r="L49" s="22" t="s">
        <v>15</v>
      </c>
      <c r="M49" s="22" t="s">
        <v>15</v>
      </c>
      <c r="N49" s="1" t="s">
        <v>401</v>
      </c>
    </row>
    <row r="50" customFormat="false" ht="19.5" hidden="false" customHeight="true" outlineLevel="0" collapsed="false">
      <c r="A50" s="34" t="s">
        <v>120</v>
      </c>
      <c r="B50" s="34"/>
      <c r="C50" s="35" t="s">
        <v>121</v>
      </c>
      <c r="D50" s="35"/>
      <c r="E50" s="35"/>
      <c r="F50" s="36" t="s">
        <v>10</v>
      </c>
      <c r="G50" s="36"/>
      <c r="H50" s="36"/>
      <c r="I50" s="36"/>
      <c r="J50" s="36"/>
      <c r="K50" s="36"/>
      <c r="L50" s="36"/>
      <c r="M50" s="36"/>
      <c r="N50" s="1" t="s">
        <v>11</v>
      </c>
    </row>
    <row r="51" customFormat="false" ht="12.75" hidden="false" customHeight="true" outlineLevel="0" collapsed="false">
      <c r="A51" s="37" t="s">
        <v>122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1" t="s">
        <v>13</v>
      </c>
    </row>
    <row r="52" customFormat="false" ht="15" hidden="false" customHeight="true" outlineLevel="0" collapsed="false">
      <c r="A52" s="10" t="str">
        <f aca="false">IFERROR(VLOOKUP(B52,'Product Master'!$A:$C,3,0),"")</f>
        <v>PRIME FOODS</v>
      </c>
      <c r="B52" s="11" t="s">
        <v>123</v>
      </c>
      <c r="C52" s="12" t="str">
        <f aca="false">IFERROR(VLOOKUP(B52,'Product Master'!$A:$B,2,0),"")</f>
        <v>BEEF, 80/20 COARSE CHOPPED GRIND [DOUBLE R RANCH]</v>
      </c>
      <c r="D52" s="13" t="str">
        <f aca="false">IFERROR(VLOOKUP(B52,'Product Master'!$A:$E,5,0),"")</f>
        <v>lb</v>
      </c>
      <c r="E52" s="38" t="str">
        <f aca="false">IFERROR(VLOOKUP(B52,'Product Master'!$A:$D,4,0),"")</f>
        <v>Proteins - Meat</v>
      </c>
      <c r="F52" s="15"/>
      <c r="G52" s="16" t="s">
        <v>15</v>
      </c>
      <c r="H52" s="16" t="s">
        <v>15</v>
      </c>
      <c r="I52" s="16" t="s">
        <v>15</v>
      </c>
      <c r="J52" s="16" t="s">
        <v>15</v>
      </c>
      <c r="K52" s="16" t="s">
        <v>15</v>
      </c>
      <c r="L52" s="16" t="s">
        <v>15</v>
      </c>
      <c r="M52" s="16" t="s">
        <v>15</v>
      </c>
      <c r="N52" s="1" t="s">
        <v>402</v>
      </c>
    </row>
    <row r="53" customFormat="false" ht="19.5" hidden="false" customHeight="true" outlineLevel="0" collapsed="false">
      <c r="A53" s="39" t="s">
        <v>128</v>
      </c>
      <c r="B53" s="39"/>
      <c r="C53" s="40" t="s">
        <v>129</v>
      </c>
      <c r="D53" s="40"/>
      <c r="E53" s="40"/>
      <c r="F53" s="41" t="s">
        <v>10</v>
      </c>
      <c r="G53" s="41"/>
      <c r="H53" s="41"/>
      <c r="I53" s="41"/>
      <c r="J53" s="41"/>
      <c r="K53" s="41"/>
      <c r="L53" s="41"/>
      <c r="M53" s="41"/>
      <c r="N53" s="1" t="s">
        <v>11</v>
      </c>
    </row>
    <row r="54" customFormat="false" ht="12.75" hidden="false" customHeight="true" outlineLevel="0" collapsed="false">
      <c r="A54" s="32" t="s">
        <v>101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1" t="s">
        <v>13</v>
      </c>
    </row>
    <row r="55" customFormat="false" ht="15" hidden="false" customHeight="true" outlineLevel="0" collapsed="false">
      <c r="A55" s="10" t="str">
        <f aca="false">IFERROR(VLOOKUP(B55,'Product Master'!$A:$C,3,0),"")</f>
        <v>PRIME LINE</v>
      </c>
      <c r="B55" s="11" t="s">
        <v>130</v>
      </c>
      <c r="C55" s="12" t="str">
        <f aca="false">IFERROR(VLOOKUP(B55,'Product Master'!$A:$B,2,0),"")</f>
        <v>MOZZARELLA, CURD [TOSCANA]</v>
      </c>
      <c r="D55" s="13" t="str">
        <f aca="false">IFERROR(VLOOKUP(B55,'Product Master'!$A:$E,5,0),"")</f>
        <v>lb</v>
      </c>
      <c r="E55" s="33" t="str">
        <f aca="false">IFERROR(VLOOKUP(B55,'Product Master'!$A:$D,4,0),"")</f>
        <v>Dairy &amp; Eggs</v>
      </c>
      <c r="F55" s="15"/>
      <c r="G55" s="16" t="s">
        <v>15</v>
      </c>
      <c r="H55" s="16" t="s">
        <v>15</v>
      </c>
      <c r="I55" s="16" t="s">
        <v>15</v>
      </c>
      <c r="J55" s="16" t="s">
        <v>15</v>
      </c>
      <c r="K55" s="16" t="s">
        <v>15</v>
      </c>
      <c r="L55" s="16" t="s">
        <v>15</v>
      </c>
      <c r="M55" s="16" t="s">
        <v>15</v>
      </c>
      <c r="N55" s="1" t="s">
        <v>403</v>
      </c>
    </row>
    <row r="56" customFormat="false" ht="19.5" hidden="false" customHeight="true" outlineLevel="0" collapsed="false">
      <c r="A56" s="42" t="s">
        <v>132</v>
      </c>
      <c r="B56" s="42"/>
      <c r="C56" s="43" t="s">
        <v>133</v>
      </c>
      <c r="D56" s="43"/>
      <c r="E56" s="43"/>
      <c r="F56" s="44" t="s">
        <v>10</v>
      </c>
      <c r="G56" s="44"/>
      <c r="H56" s="44"/>
      <c r="I56" s="44"/>
      <c r="J56" s="44"/>
      <c r="K56" s="44"/>
      <c r="L56" s="44"/>
      <c r="M56" s="44"/>
      <c r="N56" s="1" t="s">
        <v>11</v>
      </c>
    </row>
    <row r="57" customFormat="false" ht="12.75" hidden="false" customHeight="true" outlineLevel="0" collapsed="false">
      <c r="A57" s="37" t="s">
        <v>122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1" t="s">
        <v>13</v>
      </c>
    </row>
    <row r="58" customFormat="false" ht="15" hidden="false" customHeight="true" outlineLevel="0" collapsed="false">
      <c r="A58" s="10" t="str">
        <f aca="false">IFERROR(VLOOKUP(B58,'Product Master'!$A:$C,3,0),"")</f>
        <v>LA FRIEDA</v>
      </c>
      <c r="B58" s="11" t="s">
        <v>135</v>
      </c>
      <c r="C58" s="12" t="str">
        <f aca="false">IFERROR(VLOOKUP(B58,'Product Master'!$A:$B,2,0),"")</f>
        <v>PORK, COARSE CHOPPED 1/2 GRIND</v>
      </c>
      <c r="D58" s="13" t="str">
        <f aca="false">IFERROR(VLOOKUP(B58,'Product Master'!$A:$E,5,0),"")</f>
        <v>lb</v>
      </c>
      <c r="E58" s="38" t="str">
        <f aca="false">IFERROR(VLOOKUP(B58,'Product Master'!$A:$D,4,0),"")</f>
        <v>Proteins - Meat</v>
      </c>
      <c r="F58" s="15"/>
      <c r="G58" s="16" t="s">
        <v>15</v>
      </c>
      <c r="H58" s="16" t="s">
        <v>15</v>
      </c>
      <c r="I58" s="16" t="s">
        <v>15</v>
      </c>
      <c r="J58" s="16" t="s">
        <v>15</v>
      </c>
      <c r="K58" s="16" t="s">
        <v>15</v>
      </c>
      <c r="L58" s="16" t="s">
        <v>15</v>
      </c>
      <c r="M58" s="16" t="s">
        <v>15</v>
      </c>
      <c r="N58" s="1" t="s">
        <v>402</v>
      </c>
    </row>
    <row r="59" customFormat="false" ht="19.5" hidden="false" customHeight="true" outlineLevel="0" collapsed="false">
      <c r="A59" s="50" t="s">
        <v>142</v>
      </c>
      <c r="B59" s="50"/>
      <c r="C59" s="51" t="s">
        <v>143</v>
      </c>
      <c r="D59" s="51"/>
      <c r="E59" s="51"/>
      <c r="F59" s="52" t="s">
        <v>10</v>
      </c>
      <c r="G59" s="52"/>
      <c r="H59" s="52"/>
      <c r="I59" s="52"/>
      <c r="J59" s="52"/>
      <c r="K59" s="52"/>
      <c r="L59" s="52"/>
      <c r="M59" s="52"/>
      <c r="N59" s="1" t="s">
        <v>11</v>
      </c>
    </row>
    <row r="60" customFormat="false" ht="12.75" hidden="false" customHeight="true" outlineLevel="0" collapsed="false">
      <c r="A60" s="48" t="s">
        <v>138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1" t="s">
        <v>13</v>
      </c>
    </row>
    <row r="61" customFormat="false" ht="15" hidden="false" customHeight="true" outlineLevel="0" collapsed="false">
      <c r="A61" s="10" t="str">
        <f aca="false">IFERROR(VLOOKUP(B61,'Product Master'!$A:$C,3,0),"")</f>
        <v>JOHN NAGLE</v>
      </c>
      <c r="B61" s="11" t="s">
        <v>145</v>
      </c>
      <c r="C61" s="12" t="str">
        <f aca="false">IFERROR(VLOOKUP(B61,'Product Master'!$A:$B,2,0),"")</f>
        <v>SALMON, ATLANTIC FILET D-CUT 10-12LB FARMED</v>
      </c>
      <c r="D61" s="13" t="str">
        <f aca="false">IFERROR(VLOOKUP(B61,'Product Master'!$A:$E,5,0),"")</f>
        <v>lb</v>
      </c>
      <c r="E61" s="49" t="str">
        <f aca="false">IFERROR(VLOOKUP(B61,'Product Master'!$A:$D,4,0),"")</f>
        <v>Proteins - Seafood</v>
      </c>
      <c r="F61" s="15"/>
      <c r="G61" s="16" t="s">
        <v>15</v>
      </c>
      <c r="H61" s="16" t="s">
        <v>15</v>
      </c>
      <c r="I61" s="16" t="s">
        <v>15</v>
      </c>
      <c r="J61" s="16" t="s">
        <v>15</v>
      </c>
      <c r="K61" s="16" t="s">
        <v>15</v>
      </c>
      <c r="L61" s="16" t="s">
        <v>15</v>
      </c>
      <c r="M61" s="16" t="s">
        <v>15</v>
      </c>
      <c r="N61" s="1" t="s">
        <v>404</v>
      </c>
    </row>
    <row r="62" customFormat="false" ht="19.5" hidden="false" customHeight="true" outlineLevel="0" collapsed="false">
      <c r="A62" s="6" t="s">
        <v>154</v>
      </c>
      <c r="B62" s="6"/>
      <c r="C62" s="7" t="s">
        <v>155</v>
      </c>
      <c r="D62" s="7"/>
      <c r="E62" s="7"/>
      <c r="F62" s="8" t="s">
        <v>10</v>
      </c>
      <c r="G62" s="8"/>
      <c r="H62" s="8"/>
      <c r="I62" s="8"/>
      <c r="J62" s="8"/>
      <c r="K62" s="8"/>
      <c r="L62" s="8"/>
      <c r="M62" s="8"/>
      <c r="N62" s="1" t="s">
        <v>11</v>
      </c>
    </row>
    <row r="63" customFormat="false" ht="12.75" hidden="false" customHeight="true" outlineLevel="0" collapsed="false">
      <c r="A63" s="32" t="s">
        <v>101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1" t="s">
        <v>13</v>
      </c>
    </row>
    <row r="64" customFormat="false" ht="15" hidden="false" customHeight="true" outlineLevel="0" collapsed="false">
      <c r="A64" s="10" t="str">
        <f aca="false">IFERROR(VLOOKUP(B64,'Product Master'!$A:$C,3,0),"")</f>
        <v>GOURMET FOODS INT</v>
      </c>
      <c r="B64" s="11" t="s">
        <v>158</v>
      </c>
      <c r="C64" s="12" t="str">
        <f aca="false">IFERROR(VLOOKUP(B64,'Product Master'!$A:$B,2,0),"")</f>
        <v>PECORINO ROMANO [GRANAROLO]</v>
      </c>
      <c r="D64" s="13" t="str">
        <f aca="false">IFERROR(VLOOKUP(B64,'Product Master'!$A:$E,5,0),"")</f>
        <v>lb</v>
      </c>
      <c r="E64" s="33" t="str">
        <f aca="false">IFERROR(VLOOKUP(B64,'Product Master'!$A:$D,4,0),"")</f>
        <v>Dairy &amp; Eggs</v>
      </c>
      <c r="F64" s="15"/>
      <c r="G64" s="16" t="s">
        <v>15</v>
      </c>
      <c r="H64" s="16" t="s">
        <v>15</v>
      </c>
      <c r="I64" s="16" t="s">
        <v>15</v>
      </c>
      <c r="J64" s="16" t="s">
        <v>15</v>
      </c>
      <c r="K64" s="16" t="s">
        <v>15</v>
      </c>
      <c r="L64" s="16" t="s">
        <v>15</v>
      </c>
      <c r="M64" s="16" t="s">
        <v>15</v>
      </c>
      <c r="N64" s="1" t="s">
        <v>405</v>
      </c>
    </row>
    <row r="65" customFormat="false" ht="12.75" hidden="false" customHeight="true" outlineLevel="0" collapsed="false">
      <c r="A65" s="9" t="s">
        <v>12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" t="s">
        <v>13</v>
      </c>
    </row>
    <row r="66" customFormat="false" ht="15" hidden="false" customHeight="true" outlineLevel="0" collapsed="false">
      <c r="A66" s="10" t="str">
        <f aca="false">IFERROR(VLOOKUP(B66,'Product Master'!$A:$C,3,0),"")</f>
        <v>GOURMET FOODS INT</v>
      </c>
      <c r="B66" s="11" t="s">
        <v>160</v>
      </c>
      <c r="C66" s="12" t="str">
        <f aca="false">IFERROR(VLOOKUP(B66,'Product Master'!$A:$B,2,0),"")</f>
        <v>FLOUR, BREAD TYPE 1 50 LB [MOLINO GRASSI]</v>
      </c>
      <c r="D66" s="13" t="str">
        <f aca="false">IFERROR(VLOOKUP(B66,'Product Master'!$A:$E,5,0),"")</f>
        <v>ea</v>
      </c>
      <c r="E66" s="14" t="str">
        <f aca="false">IFERROR(VLOOKUP(B66,'Product Master'!$A:$D,4,0),"")</f>
        <v>Dry Goods &amp; Pantry</v>
      </c>
      <c r="F66" s="15"/>
      <c r="G66" s="16" t="s">
        <v>15</v>
      </c>
      <c r="H66" s="16" t="s">
        <v>15</v>
      </c>
      <c r="I66" s="16" t="s">
        <v>15</v>
      </c>
      <c r="J66" s="16" t="s">
        <v>15</v>
      </c>
      <c r="K66" s="16" t="s">
        <v>15</v>
      </c>
      <c r="L66" s="16" t="s">
        <v>15</v>
      </c>
      <c r="M66" s="16" t="s">
        <v>15</v>
      </c>
      <c r="N66" s="1" t="s">
        <v>366</v>
      </c>
    </row>
    <row r="67" customFormat="false" ht="15" hidden="false" customHeight="true" outlineLevel="0" collapsed="false">
      <c r="A67" s="17" t="str">
        <f aca="false">IFERROR(VLOOKUP(B67,'Product Master'!$A:$C,3,0),"")</f>
        <v>GOURMET FOODS INT</v>
      </c>
      <c r="B67" s="18" t="s">
        <v>162</v>
      </c>
      <c r="C67" s="19" t="str">
        <f aca="false">IFERROR(VLOOKUP(B67,'Product Master'!$A:$B,2,0),"")</f>
        <v>FLOUR, INTEGRALE WHOLE WHEAT FINE</v>
      </c>
      <c r="D67" s="20" t="str">
        <f aca="false">IFERROR(VLOOKUP(B67,'Product Master'!$A:$E,5,0),"")</f>
        <v>ea</v>
      </c>
      <c r="E67" s="14" t="str">
        <f aca="false">IFERROR(VLOOKUP(B67,'Product Master'!$A:$D,4,0),"")</f>
        <v>Dry Goods &amp; Pantry</v>
      </c>
      <c r="F67" s="21"/>
      <c r="G67" s="22" t="s">
        <v>15</v>
      </c>
      <c r="H67" s="22" t="s">
        <v>15</v>
      </c>
      <c r="I67" s="22" t="s">
        <v>15</v>
      </c>
      <c r="J67" s="22" t="s">
        <v>15</v>
      </c>
      <c r="K67" s="22" t="s">
        <v>15</v>
      </c>
      <c r="L67" s="22" t="s">
        <v>15</v>
      </c>
      <c r="M67" s="22" t="s">
        <v>15</v>
      </c>
      <c r="N67" s="1" t="s">
        <v>406</v>
      </c>
    </row>
    <row r="68" customFormat="false" ht="15" hidden="false" customHeight="true" outlineLevel="0" collapsed="false">
      <c r="A68" s="10" t="str">
        <f aca="false">IFERROR(VLOOKUP(B68,'Product Master'!$A:$C,3,0),"")</f>
        <v>GOURMET FOODS INT</v>
      </c>
      <c r="B68" s="11" t="s">
        <v>163</v>
      </c>
      <c r="C68" s="12" t="str">
        <f aca="false">IFERROR(VLOOKUP(B68,'Product Master'!$A:$B,2,0),"")</f>
        <v>FLOUR, RINFORZATO BREAD TYPE 00 55 LB [MOLINO GRASSI]</v>
      </c>
      <c r="D68" s="13" t="str">
        <f aca="false">IFERROR(VLOOKUP(B68,'Product Master'!$A:$E,5,0),"")</f>
        <v>ea</v>
      </c>
      <c r="E68" s="14" t="str">
        <f aca="false">IFERROR(VLOOKUP(B68,'Product Master'!$A:$D,4,0),"")</f>
        <v>Dry Goods &amp; Pantry</v>
      </c>
      <c r="F68" s="15"/>
      <c r="G68" s="16" t="s">
        <v>15</v>
      </c>
      <c r="H68" s="16" t="s">
        <v>15</v>
      </c>
      <c r="I68" s="16" t="s">
        <v>15</v>
      </c>
      <c r="J68" s="16" t="s">
        <v>15</v>
      </c>
      <c r="K68" s="16" t="s">
        <v>15</v>
      </c>
      <c r="L68" s="16" t="s">
        <v>15</v>
      </c>
      <c r="M68" s="16" t="s">
        <v>15</v>
      </c>
      <c r="N68" s="1" t="s">
        <v>406</v>
      </c>
    </row>
    <row r="69" customFormat="false" ht="15" hidden="false" customHeight="true" outlineLevel="0" collapsed="false">
      <c r="A69" s="17" t="str">
        <f aca="false">IFERROR(VLOOKUP(B69,'Product Master'!$A:$C,3,0),"")</f>
        <v>GOURMET FOODS INT</v>
      </c>
      <c r="B69" s="18" t="s">
        <v>165</v>
      </c>
      <c r="C69" s="19" t="str">
        <f aca="false">IFERROR(VLOOKUP(B69,'Product Master'!$A:$B,2,0),"")</f>
        <v>FLOUR, SEMOLINA [MOLINO GRASSI]</v>
      </c>
      <c r="D69" s="20" t="str">
        <f aca="false">IFERROR(VLOOKUP(B69,'Product Master'!$A:$E,5,0),"")</f>
        <v>ea</v>
      </c>
      <c r="E69" s="14" t="str">
        <f aca="false">IFERROR(VLOOKUP(B69,'Product Master'!$A:$D,4,0),"")</f>
        <v>Dry Goods &amp; Pantry</v>
      </c>
      <c r="F69" s="21"/>
      <c r="G69" s="22" t="s">
        <v>15</v>
      </c>
      <c r="H69" s="22" t="s">
        <v>15</v>
      </c>
      <c r="I69" s="22" t="s">
        <v>15</v>
      </c>
      <c r="J69" s="22" t="s">
        <v>15</v>
      </c>
      <c r="K69" s="22" t="s">
        <v>15</v>
      </c>
      <c r="L69" s="22" t="s">
        <v>15</v>
      </c>
      <c r="M69" s="22" t="s">
        <v>15</v>
      </c>
      <c r="N69" s="1" t="s">
        <v>407</v>
      </c>
    </row>
    <row r="70" customFormat="false" ht="15" hidden="false" customHeight="true" outlineLevel="0" collapsed="false">
      <c r="A70" s="10" t="str">
        <f aca="false">IFERROR(VLOOKUP(B70,'Product Master'!$A:$C,3,0),"")</f>
        <v>GOURMET FOODS INT</v>
      </c>
      <c r="B70" s="11" t="s">
        <v>167</v>
      </c>
      <c r="C70" s="12" t="str">
        <f aca="false">IFERROR(VLOOKUP(B70,'Product Master'!$A:$B,2,0),"")</f>
        <v>SALT, SEA FINE 55LB [BORROMETI]</v>
      </c>
      <c r="D70" s="13" t="str">
        <f aca="false">IFERROR(VLOOKUP(B70,'Product Master'!$A:$E,5,0),"")</f>
        <v>ea</v>
      </c>
      <c r="E70" s="14" t="str">
        <f aca="false">IFERROR(VLOOKUP(B70,'Product Master'!$A:$D,4,0),"")</f>
        <v>Dry Goods &amp; Pantry</v>
      </c>
      <c r="F70" s="15"/>
      <c r="G70" s="16" t="s">
        <v>15</v>
      </c>
      <c r="H70" s="16" t="s">
        <v>15</v>
      </c>
      <c r="I70" s="16" t="s">
        <v>15</v>
      </c>
      <c r="J70" s="16" t="s">
        <v>15</v>
      </c>
      <c r="K70" s="16" t="s">
        <v>15</v>
      </c>
      <c r="L70" s="16" t="s">
        <v>15</v>
      </c>
      <c r="M70" s="16" t="s">
        <v>15</v>
      </c>
      <c r="N70" s="1" t="s">
        <v>408</v>
      </c>
    </row>
    <row r="71" customFormat="false" ht="12.75" hidden="false" customHeight="true" outlineLevel="0" collapsed="false">
      <c r="A71" s="23" t="s">
        <v>19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1" t="s">
        <v>13</v>
      </c>
    </row>
    <row r="72" customFormat="false" ht="15" hidden="false" customHeight="true" outlineLevel="0" collapsed="false">
      <c r="A72" s="10" t="str">
        <f aca="false">IFERROR(VLOOKUP(B72,'Product Master'!$A:$C,3,0),"")</f>
        <v>GOURMET FOODS INT</v>
      </c>
      <c r="B72" s="11" t="s">
        <v>409</v>
      </c>
      <c r="C72" s="12" t="str">
        <f aca="false">IFERROR(VLOOKUP(B72,'Product Master'!$A:$B,2,0),"")</f>
        <v>PROSCIUTTO COTTO VERDE (SAPORE RICCO) [ROVAGNATI]</v>
      </c>
      <c r="D72" s="13" t="str">
        <f aca="false">IFERROR(VLOOKUP(B72,'Product Master'!$A:$E,5,0),"")</f>
        <v>lb</v>
      </c>
      <c r="E72" s="24" t="str">
        <f aca="false">IFERROR(VLOOKUP(B72,'Product Master'!$A:$D,4,0),"")</f>
        <v>Other</v>
      </c>
      <c r="F72" s="15"/>
      <c r="G72" s="16" t="s">
        <v>15</v>
      </c>
      <c r="H72" s="16" t="s">
        <v>15</v>
      </c>
      <c r="I72" s="16" t="s">
        <v>15</v>
      </c>
      <c r="J72" s="16" t="s">
        <v>15</v>
      </c>
      <c r="K72" s="16" t="s">
        <v>15</v>
      </c>
      <c r="L72" s="16" t="s">
        <v>15</v>
      </c>
      <c r="M72" s="16" t="s">
        <v>15</v>
      </c>
      <c r="N72" s="1" t="s">
        <v>410</v>
      </c>
    </row>
    <row r="73" customFormat="false" ht="19.5" hidden="false" customHeight="true" outlineLevel="0" collapsed="false">
      <c r="A73" s="29" t="s">
        <v>173</v>
      </c>
      <c r="B73" s="29"/>
      <c r="C73" s="30" t="s">
        <v>174</v>
      </c>
      <c r="D73" s="30"/>
      <c r="E73" s="30"/>
      <c r="F73" s="31" t="s">
        <v>10</v>
      </c>
      <c r="G73" s="31"/>
      <c r="H73" s="31"/>
      <c r="I73" s="31"/>
      <c r="J73" s="31"/>
      <c r="K73" s="31"/>
      <c r="L73" s="31"/>
      <c r="M73" s="31"/>
      <c r="N73" s="1" t="s">
        <v>11</v>
      </c>
    </row>
    <row r="74" customFormat="false" ht="12.75" hidden="false" customHeight="true" outlineLevel="0" collapsed="false">
      <c r="A74" s="32" t="s">
        <v>101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1" t="s">
        <v>13</v>
      </c>
    </row>
    <row r="75" customFormat="false" ht="15" hidden="false" customHeight="true" outlineLevel="0" collapsed="false">
      <c r="A75" s="10" t="str">
        <f aca="false">IFERROR(VLOOKUP(B75,'Product Master'!$A:$C,3,0),"")</f>
        <v>CHEFS WAREHOUSE</v>
      </c>
      <c r="B75" s="11" t="s">
        <v>176</v>
      </c>
      <c r="C75" s="12" t="str">
        <f aca="false">IFERROR(VLOOKUP(B75,'Product Master'!$A:$B,2,0),"")</f>
        <v>BUTTER UNSALTED 80%</v>
      </c>
      <c r="D75" s="13" t="str">
        <f aca="false">IFERROR(VLOOKUP(B75,'Product Master'!$A:$E,5,0),"")</f>
        <v>CA36</v>
      </c>
      <c r="E75" s="33" t="str">
        <f aca="false">IFERROR(VLOOKUP(B75,'Product Master'!$A:$D,4,0),"")</f>
        <v>Dairy &amp; Eggs</v>
      </c>
      <c r="F75" s="15"/>
      <c r="G75" s="16" t="s">
        <v>15</v>
      </c>
      <c r="H75" s="16" t="s">
        <v>15</v>
      </c>
      <c r="I75" s="16" t="s">
        <v>15</v>
      </c>
      <c r="J75" s="16" t="s">
        <v>15</v>
      </c>
      <c r="K75" s="16" t="s">
        <v>15</v>
      </c>
      <c r="L75" s="16" t="s">
        <v>15</v>
      </c>
      <c r="M75" s="16" t="s">
        <v>15</v>
      </c>
      <c r="N75" s="1" t="s">
        <v>411</v>
      </c>
    </row>
    <row r="76" customFormat="false" ht="15" hidden="false" customHeight="true" outlineLevel="0" collapsed="false">
      <c r="A76" s="17" t="str">
        <f aca="false">IFERROR(VLOOKUP(B76,'Product Master'!$A:$C,3,0),"")</f>
        <v>CHEFS WAREHOUSE</v>
      </c>
      <c r="B76" s="18" t="s">
        <v>178</v>
      </c>
      <c r="C76" s="19" t="str">
        <f aca="false">IFERROR(VLOOKUP(B76,'Product Master'!$A:$B,2,0),"")</f>
        <v>RICOTTA, FRESH HAND DIPPED (CALABRO)</v>
      </c>
      <c r="D76" s="20" t="str">
        <f aca="false">IFERROR(VLOOKUP(B76,'Product Master'!$A:$E,5,0),"")</f>
        <v>ea</v>
      </c>
      <c r="E76" s="33" t="str">
        <f aca="false">IFERROR(VLOOKUP(B76,'Product Master'!$A:$D,4,0),"")</f>
        <v>Dairy &amp; Eggs</v>
      </c>
      <c r="F76" s="21"/>
      <c r="G76" s="22" t="s">
        <v>15</v>
      </c>
      <c r="H76" s="22" t="s">
        <v>15</v>
      </c>
      <c r="I76" s="22" t="s">
        <v>15</v>
      </c>
      <c r="J76" s="22" t="s">
        <v>15</v>
      </c>
      <c r="K76" s="22" t="s">
        <v>15</v>
      </c>
      <c r="L76" s="22" t="s">
        <v>15</v>
      </c>
      <c r="M76" s="22" t="s">
        <v>15</v>
      </c>
      <c r="N76" s="1" t="s">
        <v>412</v>
      </c>
    </row>
    <row r="77" customFormat="false" ht="12.75" hidden="false" customHeight="true" outlineLevel="0" collapsed="false">
      <c r="A77" s="9" t="s">
        <v>12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" t="s">
        <v>13</v>
      </c>
    </row>
    <row r="78" customFormat="false" ht="15" hidden="false" customHeight="true" outlineLevel="0" collapsed="false">
      <c r="A78" s="10" t="str">
        <f aca="false">IFERROR(VLOOKUP(B78,'Product Master'!$A:$C,3,0),"")</f>
        <v>CHEFS WAREHOUSE</v>
      </c>
      <c r="B78" s="11" t="s">
        <v>413</v>
      </c>
      <c r="C78" s="12" t="str">
        <f aca="false">IFERROR(VLOOKUP(B78,'Product Master'!$A:$B,2,0),"")</f>
        <v>BALSAMIC VINEGAR 750 ML [LEONARDI SABA]</v>
      </c>
      <c r="D78" s="13" t="str">
        <f aca="false">IFERROR(VLOOKUP(B78,'Product Master'!$A:$E,5,0),"")</f>
        <v>CA6</v>
      </c>
      <c r="E78" s="14" t="str">
        <f aca="false">IFERROR(VLOOKUP(B78,'Product Master'!$A:$D,4,0),"")</f>
        <v>Dry Goods &amp; Pantry</v>
      </c>
      <c r="F78" s="15"/>
      <c r="G78" s="16" t="s">
        <v>15</v>
      </c>
      <c r="H78" s="16" t="s">
        <v>15</v>
      </c>
      <c r="I78" s="16" t="s">
        <v>15</v>
      </c>
      <c r="J78" s="16" t="s">
        <v>15</v>
      </c>
      <c r="K78" s="16" t="s">
        <v>15</v>
      </c>
      <c r="L78" s="16" t="s">
        <v>15</v>
      </c>
      <c r="M78" s="16" t="s">
        <v>15</v>
      </c>
      <c r="N78" s="1" t="s">
        <v>372</v>
      </c>
    </row>
    <row r="79" customFormat="false" ht="15" hidden="false" customHeight="true" outlineLevel="0" collapsed="false">
      <c r="A79" s="17" t="str">
        <f aca="false">IFERROR(VLOOKUP(B79,'Product Master'!$A:$C,3,0),"")</f>
        <v>CHEFS WAREHOUSE</v>
      </c>
      <c r="B79" s="18" t="s">
        <v>181</v>
      </c>
      <c r="C79" s="19" t="str">
        <f aca="false">IFERROR(VLOOKUP(B79,'Product Master'!$A:$B,2,0),"")</f>
        <v>CAPERS IN SALT 5 LB [BEL ARIA]</v>
      </c>
      <c r="D79" s="20" t="str">
        <f aca="false">IFERROR(VLOOKUP(B79,'Product Master'!$A:$E,5,0),"")</f>
        <v>ea</v>
      </c>
      <c r="E79" s="14" t="str">
        <f aca="false">IFERROR(VLOOKUP(B79,'Product Master'!$A:$D,4,0),"")</f>
        <v>Dry Goods &amp; Pantry</v>
      </c>
      <c r="F79" s="21"/>
      <c r="G79" s="22" t="s">
        <v>15</v>
      </c>
      <c r="H79" s="22" t="s">
        <v>15</v>
      </c>
      <c r="I79" s="22" t="s">
        <v>15</v>
      </c>
      <c r="J79" s="22" t="s">
        <v>15</v>
      </c>
      <c r="K79" s="22" t="s">
        <v>15</v>
      </c>
      <c r="L79" s="22" t="s">
        <v>15</v>
      </c>
      <c r="M79" s="22" t="s">
        <v>15</v>
      </c>
      <c r="N79" s="1" t="s">
        <v>414</v>
      </c>
    </row>
    <row r="80" customFormat="false" ht="15" hidden="false" customHeight="true" outlineLevel="0" collapsed="false">
      <c r="A80" s="10" t="str">
        <f aca="false">IFERROR(VLOOKUP(B80,'Product Master'!$A:$C,3,0),"")</f>
        <v>CHEFS WAREHOUSE</v>
      </c>
      <c r="B80" s="11" t="s">
        <v>415</v>
      </c>
      <c r="C80" s="12" t="str">
        <f aca="false">IFERROR(VLOOKUP(B80,'Product Master'!$A:$B,2,0),"")</f>
        <v>FENNEL SEEDS, WHOLE</v>
      </c>
      <c r="D80" s="13" t="str">
        <f aca="false">IFERROR(VLOOKUP(B80,'Product Master'!$A:$E,5,0),"")</f>
        <v>ea</v>
      </c>
      <c r="E80" s="14" t="str">
        <f aca="false">IFERROR(VLOOKUP(B80,'Product Master'!$A:$D,4,0),"")</f>
        <v>Dry Goods &amp; Pantry</v>
      </c>
      <c r="F80" s="15"/>
      <c r="G80" s="16" t="s">
        <v>15</v>
      </c>
      <c r="H80" s="16" t="s">
        <v>15</v>
      </c>
      <c r="I80" s="16" t="s">
        <v>15</v>
      </c>
      <c r="J80" s="16" t="s">
        <v>15</v>
      </c>
      <c r="K80" s="16" t="s">
        <v>15</v>
      </c>
      <c r="L80" s="16" t="s">
        <v>15</v>
      </c>
      <c r="M80" s="16" t="s">
        <v>15</v>
      </c>
      <c r="N80" s="1" t="s">
        <v>416</v>
      </c>
    </row>
    <row r="81" customFormat="false" ht="15" hidden="false" customHeight="true" outlineLevel="0" collapsed="false">
      <c r="A81" s="17" t="str">
        <f aca="false">IFERROR(VLOOKUP(B81,'Product Master'!$A:$C,3,0),"")</f>
        <v>CHEFS WAREHOUSE</v>
      </c>
      <c r="B81" s="18" t="s">
        <v>185</v>
      </c>
      <c r="C81" s="19" t="str">
        <f aca="false">IFERROR(VLOOKUP(B81,'Product Master'!$A:$B,2,0),"")</f>
        <v>FLOUR, ALL-PURPOSE</v>
      </c>
      <c r="D81" s="20" t="str">
        <f aca="false">IFERROR(VLOOKUP(B81,'Product Master'!$A:$E,5,0),"")</f>
        <v>CA2</v>
      </c>
      <c r="E81" s="14" t="str">
        <f aca="false">IFERROR(VLOOKUP(B81,'Product Master'!$A:$D,4,0),"")</f>
        <v>Dry Goods &amp; Pantry</v>
      </c>
      <c r="F81" s="21"/>
      <c r="G81" s="22" t="s">
        <v>15</v>
      </c>
      <c r="H81" s="22" t="s">
        <v>15</v>
      </c>
      <c r="I81" s="22" t="s">
        <v>15</v>
      </c>
      <c r="J81" s="22" t="s">
        <v>15</v>
      </c>
      <c r="K81" s="22" t="s">
        <v>15</v>
      </c>
      <c r="L81" s="22" t="s">
        <v>15</v>
      </c>
      <c r="M81" s="22" t="s">
        <v>15</v>
      </c>
      <c r="N81" s="1" t="s">
        <v>417</v>
      </c>
    </row>
    <row r="82" customFormat="false" ht="15" hidden="false" customHeight="true" outlineLevel="0" collapsed="false">
      <c r="A82" s="10" t="str">
        <f aca="false">IFERROR(VLOOKUP(B82,'Product Master'!$A:$C,3,0),"")</f>
        <v>CHEFS WAREHOUSE</v>
      </c>
      <c r="B82" s="11" t="s">
        <v>187</v>
      </c>
      <c r="C82" s="12" t="str">
        <f aca="false">IFERROR(VLOOKUP(B82,'Product Master'!$A:$B,2,0),"")</f>
        <v>FLOUR, WONDRA</v>
      </c>
      <c r="D82" s="13" t="str">
        <f aca="false">IFERROR(VLOOKUP(B82,'Product Master'!$A:$E,5,0),"")</f>
        <v>ea</v>
      </c>
      <c r="E82" s="14" t="str">
        <f aca="false">IFERROR(VLOOKUP(B82,'Product Master'!$A:$D,4,0),"")</f>
        <v>Dry Goods &amp; Pantry</v>
      </c>
      <c r="F82" s="15"/>
      <c r="G82" s="16" t="s">
        <v>15</v>
      </c>
      <c r="H82" s="16" t="s">
        <v>15</v>
      </c>
      <c r="I82" s="16" t="s">
        <v>15</v>
      </c>
      <c r="J82" s="16" t="s">
        <v>15</v>
      </c>
      <c r="K82" s="16" t="s">
        <v>15</v>
      </c>
      <c r="L82" s="16" t="s">
        <v>15</v>
      </c>
      <c r="M82" s="16" t="s">
        <v>15</v>
      </c>
      <c r="N82" s="1" t="s">
        <v>418</v>
      </c>
    </row>
    <row r="83" customFormat="false" ht="15" hidden="false" customHeight="true" outlineLevel="0" collapsed="false">
      <c r="A83" s="17" t="str">
        <f aca="false">IFERROR(VLOOKUP(B83,'Product Master'!$A:$C,3,0),"")</f>
        <v>CHEFS WAREHOUSE</v>
      </c>
      <c r="B83" s="18" t="s">
        <v>191</v>
      </c>
      <c r="C83" s="19" t="str">
        <f aca="false">IFERROR(VLOOKUP(B83,'Product Master'!$A:$B,2,0),"")</f>
        <v>MAYONNAISE EXTRA HEAVY 3.9 L</v>
      </c>
      <c r="D83" s="20" t="str">
        <f aca="false">IFERROR(VLOOKUP(B83,'Product Master'!$A:$E,5,0),"")</f>
        <v>CA4</v>
      </c>
      <c r="E83" s="14" t="str">
        <f aca="false">IFERROR(VLOOKUP(B83,'Product Master'!$A:$D,4,0),"")</f>
        <v>Dry Goods &amp; Pantry</v>
      </c>
      <c r="F83" s="21"/>
      <c r="G83" s="22" t="s">
        <v>15</v>
      </c>
      <c r="H83" s="22" t="s">
        <v>15</v>
      </c>
      <c r="I83" s="22" t="s">
        <v>15</v>
      </c>
      <c r="J83" s="22" t="s">
        <v>15</v>
      </c>
      <c r="K83" s="22" t="s">
        <v>15</v>
      </c>
      <c r="L83" s="22" t="s">
        <v>15</v>
      </c>
      <c r="M83" s="22" t="s">
        <v>15</v>
      </c>
      <c r="N83" s="1" t="s">
        <v>419</v>
      </c>
    </row>
    <row r="84" customFormat="false" ht="15" hidden="false" customHeight="true" outlineLevel="0" collapsed="false">
      <c r="A84" s="10" t="str">
        <f aca="false">IFERROR(VLOOKUP(B84,'Product Master'!$A:$C,3,0),"")</f>
        <v>CHEFS WAREHOUSE</v>
      </c>
      <c r="B84" s="11" t="s">
        <v>194</v>
      </c>
      <c r="C84" s="12" t="str">
        <f aca="false">IFERROR(VLOOKUP(B84,'Product Master'!$A:$B,2,0),"")</f>
        <v>MUSTARD, DIJON SMOOTH</v>
      </c>
      <c r="D84" s="13" t="str">
        <f aca="false">IFERROR(VLOOKUP(B84,'Product Master'!$A:$E,5,0),"")</f>
        <v>CA4</v>
      </c>
      <c r="E84" s="14" t="str">
        <f aca="false">IFERROR(VLOOKUP(B84,'Product Master'!$A:$D,4,0),"")</f>
        <v>Dry Goods &amp; Pantry</v>
      </c>
      <c r="F84" s="15"/>
      <c r="G84" s="16" t="s">
        <v>15</v>
      </c>
      <c r="H84" s="16" t="s">
        <v>15</v>
      </c>
      <c r="I84" s="16" t="s">
        <v>15</v>
      </c>
      <c r="J84" s="16" t="s">
        <v>15</v>
      </c>
      <c r="K84" s="16" t="s">
        <v>15</v>
      </c>
      <c r="L84" s="16" t="s">
        <v>15</v>
      </c>
      <c r="M84" s="16" t="s">
        <v>15</v>
      </c>
      <c r="N84" s="1" t="s">
        <v>420</v>
      </c>
    </row>
    <row r="85" customFormat="false" ht="15" hidden="false" customHeight="true" outlineLevel="0" collapsed="false">
      <c r="A85" s="17" t="str">
        <f aca="false">IFERROR(VLOOKUP(B85,'Product Master'!$A:$C,3,0),"")</f>
        <v>CHEFS WAREHOUSE</v>
      </c>
      <c r="B85" s="18" t="s">
        <v>195</v>
      </c>
      <c r="C85" s="19" t="str">
        <f aca="false">IFERROR(VLOOKUP(B85,'Product Master'!$A:$B,2,0),"")</f>
        <v>OIL, CANOLA BLEND 75/25 CANOLA OLIVE OIL</v>
      </c>
      <c r="D85" s="20" t="str">
        <f aca="false">IFERROR(VLOOKUP(B85,'Product Master'!$A:$E,5,0),"")</f>
        <v>CA6</v>
      </c>
      <c r="E85" s="14" t="str">
        <f aca="false">IFERROR(VLOOKUP(B85,'Product Master'!$A:$D,4,0),"")</f>
        <v>Dry Goods &amp; Pantry</v>
      </c>
      <c r="F85" s="21"/>
      <c r="G85" s="22" t="s">
        <v>15</v>
      </c>
      <c r="H85" s="22" t="s">
        <v>15</v>
      </c>
      <c r="I85" s="22" t="s">
        <v>15</v>
      </c>
      <c r="J85" s="22" t="s">
        <v>15</v>
      </c>
      <c r="K85" s="22" t="s">
        <v>15</v>
      </c>
      <c r="L85" s="22" t="s">
        <v>15</v>
      </c>
      <c r="M85" s="22" t="s">
        <v>15</v>
      </c>
      <c r="N85" s="1" t="s">
        <v>421</v>
      </c>
    </row>
    <row r="86" customFormat="false" ht="15" hidden="false" customHeight="true" outlineLevel="0" collapsed="false">
      <c r="A86" s="10" t="str">
        <f aca="false">IFERROR(VLOOKUP(B86,'Product Master'!$A:$C,3,0),"")</f>
        <v>CHEFS WAREHOUSE</v>
      </c>
      <c r="B86" s="11" t="s">
        <v>200</v>
      </c>
      <c r="C86" s="12" t="str">
        <f aca="false">IFERROR(VLOOKUP(B86,'Product Master'!$A:$B,2,0),"")</f>
        <v>RICE FLOUR FINE WHITE 50LB [COMET]</v>
      </c>
      <c r="D86" s="13" t="str">
        <f aca="false">IFERROR(VLOOKUP(B86,'Product Master'!$A:$E,5,0),"")</f>
        <v>ea</v>
      </c>
      <c r="E86" s="14" t="str">
        <f aca="false">IFERROR(VLOOKUP(B86,'Product Master'!$A:$D,4,0),"")</f>
        <v>Dry Goods &amp; Pantry</v>
      </c>
      <c r="F86" s="15"/>
      <c r="G86" s="16" t="s">
        <v>15</v>
      </c>
      <c r="H86" s="16" t="s">
        <v>15</v>
      </c>
      <c r="I86" s="16" t="s">
        <v>15</v>
      </c>
      <c r="J86" s="16" t="s">
        <v>15</v>
      </c>
      <c r="K86" s="16" t="s">
        <v>15</v>
      </c>
      <c r="L86" s="16" t="s">
        <v>15</v>
      </c>
      <c r="M86" s="16" t="s">
        <v>15</v>
      </c>
      <c r="N86" s="1" t="s">
        <v>389</v>
      </c>
    </row>
    <row r="87" customFormat="false" ht="15" hidden="false" customHeight="true" outlineLevel="0" collapsed="false">
      <c r="A87" s="17" t="str">
        <f aca="false">IFERROR(VLOOKUP(B87,'Product Master'!$A:$C,3,0),"")</f>
        <v>CHEFS WAREHOUSE</v>
      </c>
      <c r="B87" s="18" t="s">
        <v>201</v>
      </c>
      <c r="C87" s="19" t="str">
        <f aca="false">IFERROR(VLOOKUP(B87,'Product Master'!$A:$B,2,0),"")</f>
        <v>SALT, SEA (MALDON)</v>
      </c>
      <c r="D87" s="20" t="str">
        <f aca="false">IFERROR(VLOOKUP(B87,'Product Master'!$A:$E,5,0),"")</f>
        <v>ea</v>
      </c>
      <c r="E87" s="14" t="str">
        <f aca="false">IFERROR(VLOOKUP(B87,'Product Master'!$A:$D,4,0),"")</f>
        <v>Dry Goods &amp; Pantry</v>
      </c>
      <c r="F87" s="21"/>
      <c r="G87" s="22" t="s">
        <v>15</v>
      </c>
      <c r="H87" s="22" t="s">
        <v>15</v>
      </c>
      <c r="I87" s="22" t="s">
        <v>15</v>
      </c>
      <c r="J87" s="22" t="s">
        <v>15</v>
      </c>
      <c r="K87" s="22" t="s">
        <v>15</v>
      </c>
      <c r="L87" s="22" t="s">
        <v>15</v>
      </c>
      <c r="M87" s="22" t="s">
        <v>15</v>
      </c>
      <c r="N87" s="1" t="s">
        <v>422</v>
      </c>
    </row>
    <row r="88" customFormat="false" ht="15" hidden="false" customHeight="true" outlineLevel="0" collapsed="false">
      <c r="A88" s="10" t="str">
        <f aca="false">IFERROR(VLOOKUP(B88,'Product Master'!$A:$C,3,0),"")</f>
        <v>CHEFS WAREHOUSE</v>
      </c>
      <c r="B88" s="11" t="s">
        <v>423</v>
      </c>
      <c r="C88" s="12" t="str">
        <f aca="false">IFERROR(VLOOKUP(B88,'Product Master'!$A:$B,2,0),"")</f>
        <v>VINEGAR, BALSAMIC FROM MODENA 33.8 FL OZ (PONTI)</v>
      </c>
      <c r="D88" s="13" t="str">
        <f aca="false">IFERROR(VLOOKUP(B88,'Product Master'!$A:$E,5,0),"")</f>
        <v>ea</v>
      </c>
      <c r="E88" s="14" t="str">
        <f aca="false">IFERROR(VLOOKUP(B88,'Product Master'!$A:$D,4,0),"")</f>
        <v>Dry Goods &amp; Pantry</v>
      </c>
      <c r="F88" s="15"/>
      <c r="G88" s="16" t="s">
        <v>15</v>
      </c>
      <c r="H88" s="16" t="s">
        <v>15</v>
      </c>
      <c r="I88" s="16" t="s">
        <v>15</v>
      </c>
      <c r="J88" s="16" t="s">
        <v>15</v>
      </c>
      <c r="K88" s="16" t="s">
        <v>15</v>
      </c>
      <c r="L88" s="16" t="s">
        <v>15</v>
      </c>
      <c r="M88" s="16" t="s">
        <v>15</v>
      </c>
      <c r="N88" s="1" t="s">
        <v>424</v>
      </c>
    </row>
    <row r="89" customFormat="false" ht="15" hidden="false" customHeight="true" outlineLevel="0" collapsed="false">
      <c r="A89" s="17" t="str">
        <f aca="false">IFERROR(VLOOKUP(B89,'Product Master'!$A:$C,3,0),"")</f>
        <v>CHEFS WAREHOUSE</v>
      </c>
      <c r="B89" s="18" t="s">
        <v>205</v>
      </c>
      <c r="C89" s="19" t="str">
        <f aca="false">IFERROR(VLOOKUP(B89,'Product Master'!$A:$B,2,0),"")</f>
        <v>YEAST FRESH</v>
      </c>
      <c r="D89" s="20" t="str">
        <f aca="false">IFERROR(VLOOKUP(B89,'Product Master'!$A:$E,5,0),"")</f>
        <v>ea</v>
      </c>
      <c r="E89" s="14" t="str">
        <f aca="false">IFERROR(VLOOKUP(B89,'Product Master'!$A:$D,4,0),"")</f>
        <v>Dry Goods &amp; Pantry</v>
      </c>
      <c r="F89" s="21"/>
      <c r="G89" s="22" t="s">
        <v>15</v>
      </c>
      <c r="H89" s="22" t="s">
        <v>15</v>
      </c>
      <c r="I89" s="22" t="s">
        <v>15</v>
      </c>
      <c r="J89" s="22" t="s">
        <v>15</v>
      </c>
      <c r="K89" s="22" t="s">
        <v>15</v>
      </c>
      <c r="L89" s="22" t="s">
        <v>15</v>
      </c>
      <c r="M89" s="22" t="s">
        <v>15</v>
      </c>
      <c r="N89" s="1" t="s">
        <v>366</v>
      </c>
    </row>
    <row r="90" customFormat="false" ht="12.75" hidden="false" customHeight="true" outlineLevel="0" collapsed="false">
      <c r="A90" s="23" t="s">
        <v>19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1" t="s">
        <v>13</v>
      </c>
    </row>
    <row r="91" customFormat="false" ht="15" hidden="false" customHeight="true" outlineLevel="0" collapsed="false">
      <c r="A91" s="10" t="str">
        <f aca="false">IFERROR(VLOOKUP(B91,'Product Master'!$A:$C,3,0),"")</f>
        <v>CHEFS WAREHOUSE</v>
      </c>
      <c r="B91" s="11" t="s">
        <v>207</v>
      </c>
      <c r="C91" s="12" t="str">
        <f aca="false">IFERROR(VLOOKUP(B91,'Product Master'!$A:$B,2,0),"")</f>
        <v>BREAD CRUMBS</v>
      </c>
      <c r="D91" s="13" t="str">
        <f aca="false">IFERROR(VLOOKUP(B91,'Product Master'!$A:$E,5,0),"")</f>
        <v>CA6</v>
      </c>
      <c r="E91" s="24" t="str">
        <f aca="false">IFERROR(VLOOKUP(B91,'Product Master'!$A:$D,4,0),"")</f>
        <v>Other</v>
      </c>
      <c r="F91" s="15"/>
      <c r="G91" s="16" t="s">
        <v>15</v>
      </c>
      <c r="H91" s="16" t="s">
        <v>15</v>
      </c>
      <c r="I91" s="16" t="s">
        <v>15</v>
      </c>
      <c r="J91" s="16" t="s">
        <v>15</v>
      </c>
      <c r="K91" s="16" t="s">
        <v>15</v>
      </c>
      <c r="L91" s="16" t="s">
        <v>15</v>
      </c>
      <c r="M91" s="16" t="s">
        <v>15</v>
      </c>
      <c r="N91" s="1" t="s">
        <v>425</v>
      </c>
    </row>
    <row r="92" customFormat="false" ht="15" hidden="false" customHeight="true" outlineLevel="0" collapsed="false">
      <c r="A92" s="17" t="str">
        <f aca="false">IFERROR(VLOOKUP(B92,'Product Master'!$A:$C,3,0),"")</f>
        <v>CHEFS WAREHOUSE</v>
      </c>
      <c r="B92" s="18" t="s">
        <v>426</v>
      </c>
      <c r="C92" s="19" t="str">
        <f aca="false">IFERROR(VLOOKUP(B92,'Product Master'!$A:$B,2,0),"")</f>
        <v>FROZEN, LEMON ZEST 17.6 LB</v>
      </c>
      <c r="D92" s="20" t="str">
        <f aca="false">IFERROR(VLOOKUP(B92,'Product Master'!$A:$E,5,0),"")</f>
        <v>ea</v>
      </c>
      <c r="E92" s="24" t="str">
        <f aca="false">IFERROR(VLOOKUP(B92,'Product Master'!$A:$D,4,0),"")</f>
        <v>Other</v>
      </c>
      <c r="F92" s="21"/>
      <c r="G92" s="22" t="s">
        <v>15</v>
      </c>
      <c r="H92" s="22" t="s">
        <v>15</v>
      </c>
      <c r="I92" s="22" t="s">
        <v>15</v>
      </c>
      <c r="J92" s="22" t="s">
        <v>15</v>
      </c>
      <c r="K92" s="22" t="s">
        <v>15</v>
      </c>
      <c r="L92" s="22" t="s">
        <v>15</v>
      </c>
      <c r="M92" s="22" t="s">
        <v>15</v>
      </c>
      <c r="N92" s="1" t="s">
        <v>427</v>
      </c>
    </row>
    <row r="93" customFormat="false" ht="15" hidden="false" customHeight="true" outlineLevel="0" collapsed="false">
      <c r="A93" s="10" t="str">
        <f aca="false">IFERROR(VLOOKUP(B93,'Product Master'!$A:$C,3,0),"")</f>
        <v>CHEFS WAREHOUSE</v>
      </c>
      <c r="B93" s="11" t="s">
        <v>210</v>
      </c>
      <c r="C93" s="12" t="str">
        <f aca="false">IFERROR(VLOOKUP(B93,'Product Master'!$A:$B,2,0),"")</f>
        <v>LIQUID EGG YOLK 2 LB [PAPETTI]</v>
      </c>
      <c r="D93" s="13" t="str">
        <f aca="false">IFERROR(VLOOKUP(B93,'Product Master'!$A:$E,5,0),"")</f>
        <v>CA15</v>
      </c>
      <c r="E93" s="24" t="str">
        <f aca="false">IFERROR(VLOOKUP(B93,'Product Master'!$A:$D,4,0),"")</f>
        <v>Other</v>
      </c>
      <c r="F93" s="15"/>
      <c r="G93" s="16" t="s">
        <v>15</v>
      </c>
      <c r="H93" s="16" t="s">
        <v>15</v>
      </c>
      <c r="I93" s="16" t="s">
        <v>15</v>
      </c>
      <c r="J93" s="16" t="s">
        <v>15</v>
      </c>
      <c r="K93" s="16" t="s">
        <v>15</v>
      </c>
      <c r="L93" s="16" t="s">
        <v>15</v>
      </c>
      <c r="M93" s="16" t="s">
        <v>15</v>
      </c>
      <c r="N93" s="1" t="s">
        <v>428</v>
      </c>
    </row>
    <row r="94" customFormat="false" ht="15" hidden="false" customHeight="true" outlineLevel="0" collapsed="false">
      <c r="A94" s="17" t="str">
        <f aca="false">IFERROR(VLOOKUP(B94,'Product Master'!$A:$C,3,0),"")</f>
        <v>CHEFS WAREHOUSE</v>
      </c>
      <c r="B94" s="18" t="s">
        <v>212</v>
      </c>
      <c r="C94" s="19" t="str">
        <f aca="false">IFERROR(VLOOKUP(B94,'Product Master'!$A:$B,2,0),"")</f>
        <v>PEAS, FROZEN</v>
      </c>
      <c r="D94" s="20" t="str">
        <f aca="false">IFERROR(VLOOKUP(B94,'Product Master'!$A:$E,5,0),"")</f>
        <v>CA12</v>
      </c>
      <c r="E94" s="24" t="str">
        <f aca="false">IFERROR(VLOOKUP(B94,'Product Master'!$A:$D,4,0),"")</f>
        <v>Other</v>
      </c>
      <c r="F94" s="21"/>
      <c r="G94" s="22" t="s">
        <v>15</v>
      </c>
      <c r="H94" s="22" t="s">
        <v>15</v>
      </c>
      <c r="I94" s="22" t="s">
        <v>15</v>
      </c>
      <c r="J94" s="22" t="s">
        <v>15</v>
      </c>
      <c r="K94" s="22" t="s">
        <v>15</v>
      </c>
      <c r="L94" s="22" t="s">
        <v>15</v>
      </c>
      <c r="M94" s="22" t="s">
        <v>15</v>
      </c>
      <c r="N94" s="1" t="s">
        <v>429</v>
      </c>
    </row>
    <row r="95" customFormat="false" ht="15" hidden="false" customHeight="true" outlineLevel="0" collapsed="false">
      <c r="A95" s="10" t="str">
        <f aca="false">IFERROR(VLOOKUP(B95,'Product Master'!$A:$C,3,0),"")</f>
        <v>CHEFS WAREHOUSE</v>
      </c>
      <c r="B95" s="11" t="s">
        <v>214</v>
      </c>
      <c r="C95" s="12" t="str">
        <f aca="false">IFERROR(VLOOKUP(B95,'Product Master'!$A:$B,2,0),"")</f>
        <v>SUGAR, EXTRA FINE GRANULATED</v>
      </c>
      <c r="D95" s="13" t="str">
        <f aca="false">IFERROR(VLOOKUP(B95,'Product Master'!$A:$E,5,0),"")</f>
        <v>ea</v>
      </c>
      <c r="E95" s="24" t="str">
        <f aca="false">IFERROR(VLOOKUP(B95,'Product Master'!$A:$D,4,0),"")</f>
        <v>Other</v>
      </c>
      <c r="F95" s="15"/>
      <c r="G95" s="16" t="s">
        <v>15</v>
      </c>
      <c r="H95" s="16" t="s">
        <v>15</v>
      </c>
      <c r="I95" s="16" t="s">
        <v>15</v>
      </c>
      <c r="J95" s="16" t="s">
        <v>15</v>
      </c>
      <c r="K95" s="16" t="s">
        <v>15</v>
      </c>
      <c r="L95" s="16" t="s">
        <v>15</v>
      </c>
      <c r="M95" s="16" t="s">
        <v>15</v>
      </c>
      <c r="N95" s="1" t="s">
        <v>418</v>
      </c>
    </row>
    <row r="96" customFormat="false" ht="12.75" hidden="false" customHeight="true" outlineLevel="0" collapsed="false">
      <c r="A96" s="25" t="s">
        <v>24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1" t="s">
        <v>13</v>
      </c>
    </row>
    <row r="97" customFormat="false" ht="15" hidden="false" customHeight="true" outlineLevel="0" collapsed="false">
      <c r="A97" s="10" t="str">
        <f aca="false">IFERROR(VLOOKUP(B97,'Product Master'!$A:$C,3,0),"")</f>
        <v>CHEFS WAREHOUSE</v>
      </c>
      <c r="B97" s="11" t="s">
        <v>218</v>
      </c>
      <c r="C97" s="12" t="str">
        <f aca="false">IFERROR(VLOOKUP(B97,'Product Master'!$A:$B,2,0),"")</f>
        <v>CAGE FREE GRADE "A" LARGE EGGS</v>
      </c>
      <c r="D97" s="13" t="str">
        <f aca="false">IFERROR(VLOOKUP(B97,'Product Master'!$A:$E,5,0),"")</f>
        <v>CA180</v>
      </c>
      <c r="E97" s="26" t="str">
        <f aca="false">IFERROR(VLOOKUP(B97,'Product Master'!$A:$D,4,0),"")</f>
        <v>Produce - Herbs</v>
      </c>
      <c r="F97" s="15"/>
      <c r="G97" s="16" t="s">
        <v>15</v>
      </c>
      <c r="H97" s="16" t="s">
        <v>15</v>
      </c>
      <c r="I97" s="16" t="s">
        <v>15</v>
      </c>
      <c r="J97" s="16" t="s">
        <v>15</v>
      </c>
      <c r="K97" s="16" t="s">
        <v>15</v>
      </c>
      <c r="L97" s="16" t="s">
        <v>15</v>
      </c>
      <c r="M97" s="16" t="s">
        <v>15</v>
      </c>
      <c r="N97" s="1" t="s">
        <v>414</v>
      </c>
    </row>
    <row r="98" customFormat="false" ht="12.75" hidden="false" customHeight="true" outlineLevel="0" collapsed="false">
      <c r="A98" s="27" t="s">
        <v>31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1" t="s">
        <v>13</v>
      </c>
    </row>
    <row r="99" customFormat="false" ht="15" hidden="false" customHeight="true" outlineLevel="0" collapsed="false">
      <c r="A99" s="10" t="str">
        <f aca="false">IFERROR(VLOOKUP(B99,'Product Master'!$A:$C,3,0),"")</f>
        <v>CHEFS WAREHOUSE</v>
      </c>
      <c r="B99" s="11" t="s">
        <v>430</v>
      </c>
      <c r="C99" s="12" t="str">
        <f aca="false">IFERROR(VLOOKUP(B99,'Product Master'!$A:$B,2,0),"")</f>
        <v>BEANS, FAVA FROZEN</v>
      </c>
      <c r="D99" s="13" t="str">
        <f aca="false">IFERROR(VLOOKUP(B99,'Product Master'!$A:$E,5,0),"")</f>
        <v>ea</v>
      </c>
      <c r="E99" s="28" t="str">
        <f aca="false">IFERROR(VLOOKUP(B99,'Product Master'!$A:$D,4,0),"")</f>
        <v>Produce - Veg &amp; Fruit</v>
      </c>
      <c r="F99" s="15"/>
      <c r="G99" s="16" t="s">
        <v>15</v>
      </c>
      <c r="H99" s="16" t="s">
        <v>15</v>
      </c>
      <c r="I99" s="16" t="s">
        <v>15</v>
      </c>
      <c r="J99" s="16" t="s">
        <v>15</v>
      </c>
      <c r="K99" s="16" t="s">
        <v>15</v>
      </c>
      <c r="L99" s="16" t="s">
        <v>15</v>
      </c>
      <c r="M99" s="16" t="s">
        <v>15</v>
      </c>
      <c r="N99" s="1" t="s">
        <v>431</v>
      </c>
    </row>
    <row r="100" customFormat="false" ht="15" hidden="false" customHeight="true" outlineLevel="0" collapsed="false">
      <c r="A100" s="17" t="str">
        <f aca="false">IFERROR(VLOOKUP(B100,'Product Master'!$A:$C,3,0),"")</f>
        <v>CHEFS WAREHOUSE</v>
      </c>
      <c r="B100" s="18" t="s">
        <v>224</v>
      </c>
      <c r="C100" s="19" t="str">
        <f aca="false">IFERROR(VLOOKUP(B100,'Product Master'!$A:$B,2,0),"")</f>
        <v>CAPERS, NON PAREIL IN BRINE</v>
      </c>
      <c r="D100" s="20" t="str">
        <f aca="false">IFERROR(VLOOKUP(B100,'Product Master'!$A:$E,5,0),"")</f>
        <v>CA12</v>
      </c>
      <c r="E100" s="28" t="str">
        <f aca="false">IFERROR(VLOOKUP(B100,'Product Master'!$A:$D,4,0),"")</f>
        <v>Produce - Veg &amp; Fruit</v>
      </c>
      <c r="F100" s="21"/>
      <c r="G100" s="22" t="s">
        <v>15</v>
      </c>
      <c r="H100" s="22" t="s">
        <v>15</v>
      </c>
      <c r="I100" s="22" t="s">
        <v>15</v>
      </c>
      <c r="J100" s="22" t="s">
        <v>15</v>
      </c>
      <c r="K100" s="22" t="s">
        <v>15</v>
      </c>
      <c r="L100" s="22" t="s">
        <v>15</v>
      </c>
      <c r="M100" s="22" t="s">
        <v>15</v>
      </c>
      <c r="N100" s="1" t="s">
        <v>420</v>
      </c>
    </row>
    <row r="101" customFormat="false" ht="15" hidden="false" customHeight="true" outlineLevel="0" collapsed="false">
      <c r="A101" s="10" t="str">
        <f aca="false">IFERROR(VLOOKUP(B101,'Product Master'!$A:$C,3,0),"")</f>
        <v>CHEFS WAREHOUSE</v>
      </c>
      <c r="B101" s="11" t="s">
        <v>432</v>
      </c>
      <c r="C101" s="12" t="str">
        <f aca="false">IFERROR(VLOOKUP(B101,'Product Master'!$A:$B,2,0),"")</f>
        <v>FIG BLACK MISSION [CAPITOL FOOD COMPANY]</v>
      </c>
      <c r="D101" s="13" t="str">
        <f aca="false">IFERROR(VLOOKUP(B101,'Product Master'!$A:$E,5,0),"")</f>
        <v>lb</v>
      </c>
      <c r="E101" s="28" t="str">
        <f aca="false">IFERROR(VLOOKUP(B101,'Product Master'!$A:$D,4,0),"")</f>
        <v>Produce - Veg &amp; Fruit</v>
      </c>
      <c r="F101" s="15"/>
      <c r="G101" s="16" t="s">
        <v>15</v>
      </c>
      <c r="H101" s="16" t="s">
        <v>15</v>
      </c>
      <c r="I101" s="16" t="s">
        <v>15</v>
      </c>
      <c r="J101" s="16" t="s">
        <v>15</v>
      </c>
      <c r="K101" s="16" t="s">
        <v>15</v>
      </c>
      <c r="L101" s="16" t="s">
        <v>15</v>
      </c>
      <c r="M101" s="16" t="s">
        <v>15</v>
      </c>
      <c r="N101" s="1" t="s">
        <v>372</v>
      </c>
    </row>
    <row r="102" customFormat="false" ht="15" hidden="false" customHeight="true" outlineLevel="0" collapsed="false">
      <c r="A102" s="17" t="str">
        <f aca="false">IFERROR(VLOOKUP(B102,'Product Master'!$A:$C,3,0),"")</f>
        <v>CHEFS WAREHOUSE</v>
      </c>
      <c r="B102" s="18" t="s">
        <v>433</v>
      </c>
      <c r="C102" s="19" t="str">
        <f aca="false">IFERROR(VLOOKUP(B102,'Product Master'!$A:$B,2,0),"")</f>
        <v>HONEY, CLOVER</v>
      </c>
      <c r="D102" s="20" t="str">
        <f aca="false">IFERROR(VLOOKUP(B102,'Product Master'!$A:$E,5,0),"")</f>
        <v>ea</v>
      </c>
      <c r="E102" s="28" t="str">
        <f aca="false">IFERROR(VLOOKUP(B102,'Product Master'!$A:$D,4,0),"")</f>
        <v>Produce - Veg &amp; Fruit</v>
      </c>
      <c r="F102" s="21"/>
      <c r="G102" s="22" t="s">
        <v>15</v>
      </c>
      <c r="H102" s="22" t="s">
        <v>15</v>
      </c>
      <c r="I102" s="22" t="s">
        <v>15</v>
      </c>
      <c r="J102" s="22" t="s">
        <v>15</v>
      </c>
      <c r="K102" s="22" t="s">
        <v>15</v>
      </c>
      <c r="L102" s="22" t="s">
        <v>15</v>
      </c>
      <c r="M102" s="22" t="s">
        <v>15</v>
      </c>
      <c r="N102" s="1" t="s">
        <v>393</v>
      </c>
    </row>
    <row r="103" customFormat="false" ht="15" hidden="false" customHeight="true" outlineLevel="0" collapsed="false">
      <c r="A103" s="10" t="str">
        <f aca="false">IFERROR(VLOOKUP(B103,'Product Master'!$A:$C,3,0),"")</f>
        <v>CHEFS WAREHOUSE</v>
      </c>
      <c r="B103" s="11" t="s">
        <v>434</v>
      </c>
      <c r="C103" s="12" t="str">
        <f aca="false">IFERROR(VLOOKUP(B103,'Product Master'!$A:$B,2,0),"")</f>
        <v>PINE NUTS LARGE [CAPITOL FOOD COMPANY]</v>
      </c>
      <c r="D103" s="13" t="str">
        <f aca="false">IFERROR(VLOOKUP(B103,'Product Master'!$A:$E,5,0),"")</f>
        <v>lb</v>
      </c>
      <c r="E103" s="28" t="str">
        <f aca="false">IFERROR(VLOOKUP(B103,'Product Master'!$A:$D,4,0),"")</f>
        <v>Produce - Veg &amp; Fruit</v>
      </c>
      <c r="F103" s="15"/>
      <c r="G103" s="16" t="s">
        <v>15</v>
      </c>
      <c r="H103" s="16" t="s">
        <v>15</v>
      </c>
      <c r="I103" s="16" t="s">
        <v>15</v>
      </c>
      <c r="J103" s="16" t="s">
        <v>15</v>
      </c>
      <c r="K103" s="16" t="s">
        <v>15</v>
      </c>
      <c r="L103" s="16" t="s">
        <v>15</v>
      </c>
      <c r="M103" s="16" t="s">
        <v>15</v>
      </c>
      <c r="N103" s="1" t="s">
        <v>371</v>
      </c>
    </row>
    <row r="104" customFormat="false" ht="15" hidden="false" customHeight="true" outlineLevel="0" collapsed="false">
      <c r="A104" s="17" t="str">
        <f aca="false">IFERROR(VLOOKUP(B104,'Product Master'!$A:$C,3,0),"")</f>
        <v>CHEFS WAREHOUSE</v>
      </c>
      <c r="B104" s="18" t="s">
        <v>227</v>
      </c>
      <c r="C104" s="19" t="str">
        <f aca="false">IFERROR(VLOOKUP(B104,'Product Master'!$A:$B,2,0),"")</f>
        <v>WALNUT HALVES</v>
      </c>
      <c r="D104" s="20" t="str">
        <f aca="false">IFERROR(VLOOKUP(B104,'Product Master'!$A:$E,5,0),"")</f>
        <v>lb</v>
      </c>
      <c r="E104" s="28" t="str">
        <f aca="false">IFERROR(VLOOKUP(B104,'Product Master'!$A:$D,4,0),"")</f>
        <v>Produce - Veg &amp; Fruit</v>
      </c>
      <c r="F104" s="21"/>
      <c r="G104" s="22" t="s">
        <v>15</v>
      </c>
      <c r="H104" s="22" t="s">
        <v>15</v>
      </c>
      <c r="I104" s="22" t="s">
        <v>15</v>
      </c>
      <c r="J104" s="22" t="s">
        <v>15</v>
      </c>
      <c r="K104" s="22" t="s">
        <v>15</v>
      </c>
      <c r="L104" s="22" t="s">
        <v>15</v>
      </c>
      <c r="M104" s="22" t="s">
        <v>15</v>
      </c>
      <c r="N104" s="1" t="s">
        <v>360</v>
      </c>
    </row>
    <row r="105" customFormat="false" ht="15" hidden="false" customHeight="true" outlineLevel="0" collapsed="false">
      <c r="A105" s="10" t="str">
        <f aca="false">IFERROR(VLOOKUP(B105,'Product Master'!$A:$C,3,0),"")</f>
        <v>CHEFS WAREHOUSE</v>
      </c>
      <c r="B105" s="11" t="s">
        <v>435</v>
      </c>
      <c r="C105" s="12" t="str">
        <f aca="false">IFERROR(VLOOKUP(B105,'Product Master'!$A:$B,2,0),"")</f>
        <v>WALNUT PIECES 5LB</v>
      </c>
      <c r="D105" s="13" t="str">
        <f aca="false">IFERROR(VLOOKUP(B105,'Product Master'!$A:$E,5,0),"")</f>
        <v>lb</v>
      </c>
      <c r="E105" s="28" t="str">
        <f aca="false">IFERROR(VLOOKUP(B105,'Product Master'!$A:$D,4,0),"")</f>
        <v>Produce - Veg &amp; Fruit</v>
      </c>
      <c r="F105" s="15"/>
      <c r="G105" s="16" t="s">
        <v>15</v>
      </c>
      <c r="H105" s="16" t="s">
        <v>15</v>
      </c>
      <c r="I105" s="16" t="s">
        <v>15</v>
      </c>
      <c r="J105" s="16" t="s">
        <v>15</v>
      </c>
      <c r="K105" s="16" t="s">
        <v>15</v>
      </c>
      <c r="L105" s="16" t="s">
        <v>15</v>
      </c>
      <c r="M105" s="16" t="s">
        <v>15</v>
      </c>
      <c r="N105" s="1" t="s">
        <v>436</v>
      </c>
    </row>
    <row r="106" customFormat="false" ht="12.75" hidden="false" customHeight="true" outlineLevel="0" collapsed="false">
      <c r="A106" s="37" t="s">
        <v>122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1" t="s">
        <v>13</v>
      </c>
    </row>
    <row r="107" customFormat="false" ht="15" hidden="false" customHeight="true" outlineLevel="0" collapsed="false">
      <c r="A107" s="10" t="str">
        <f aca="false">IFERROR(VLOOKUP(B107,'Product Master'!$A:$C,3,0),"")</f>
        <v>CHEFS WAREHOUSE</v>
      </c>
      <c r="B107" s="11" t="s">
        <v>228</v>
      </c>
      <c r="C107" s="12" t="str">
        <f aca="false">IFERROR(VLOOKUP(B107,'Product Master'!$A:$B,2,0),"")</f>
        <v>CHICKEN, BREAST BONELESS SKINLESS BULK ABF [FREEBIRD]</v>
      </c>
      <c r="D107" s="13" t="str">
        <f aca="false">IFERROR(VLOOKUP(B107,'Product Master'!$A:$E,5,0),"")</f>
        <v>lb</v>
      </c>
      <c r="E107" s="38" t="str">
        <f aca="false">IFERROR(VLOOKUP(B107,'Product Master'!$A:$D,4,0),"")</f>
        <v>Proteins - Meat</v>
      </c>
      <c r="F107" s="15"/>
      <c r="G107" s="16" t="s">
        <v>15</v>
      </c>
      <c r="H107" s="16" t="s">
        <v>15</v>
      </c>
      <c r="I107" s="16" t="s">
        <v>15</v>
      </c>
      <c r="J107" s="16" t="s">
        <v>15</v>
      </c>
      <c r="K107" s="16" t="s">
        <v>15</v>
      </c>
      <c r="L107" s="16" t="s">
        <v>15</v>
      </c>
      <c r="M107" s="16" t="s">
        <v>15</v>
      </c>
      <c r="N107" s="1" t="s">
        <v>437</v>
      </c>
    </row>
    <row r="108" customFormat="false" ht="19.5" hidden="false" customHeight="true" outlineLevel="0" collapsed="false">
      <c r="A108" s="34" t="s">
        <v>232</v>
      </c>
      <c r="B108" s="34"/>
      <c r="C108" s="35" t="s">
        <v>233</v>
      </c>
      <c r="D108" s="35"/>
      <c r="E108" s="35"/>
      <c r="F108" s="36" t="s">
        <v>10</v>
      </c>
      <c r="G108" s="36"/>
      <c r="H108" s="36"/>
      <c r="I108" s="36"/>
      <c r="J108" s="36"/>
      <c r="K108" s="36"/>
      <c r="L108" s="36"/>
      <c r="M108" s="36"/>
      <c r="N108" s="1" t="s">
        <v>11</v>
      </c>
    </row>
    <row r="109" customFormat="false" ht="12.75" hidden="false" customHeight="true" outlineLevel="0" collapsed="false">
      <c r="A109" s="9" t="s">
        <v>12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" t="s">
        <v>13</v>
      </c>
    </row>
    <row r="110" customFormat="false" ht="15" hidden="false" customHeight="true" outlineLevel="0" collapsed="false">
      <c r="A110" s="10" t="str">
        <f aca="false">IFERROR(VLOOKUP(B110,'Product Master'!$A:$C,3,0),"")</f>
        <v>BETA IMPORTS</v>
      </c>
      <c r="B110" s="11" t="s">
        <v>234</v>
      </c>
      <c r="C110" s="12" t="str">
        <f aca="false">IFERROR(VLOOKUP(B110,'Product Master'!$A:$B,2,0),"")</f>
        <v>ANCHOVY BOH FORMAT BUCKET 14.9 OZ [RIZZOLI]</v>
      </c>
      <c r="D110" s="13" t="str">
        <f aca="false">IFERROR(VLOOKUP(B110,'Product Master'!$A:$E,5,0),"")</f>
        <v>ea</v>
      </c>
      <c r="E110" s="14" t="str">
        <f aca="false">IFERROR(VLOOKUP(B110,'Product Master'!$A:$D,4,0),"")</f>
        <v>Dry Goods &amp; Pantry</v>
      </c>
      <c r="F110" s="15"/>
      <c r="G110" s="16" t="s">
        <v>15</v>
      </c>
      <c r="H110" s="16" t="s">
        <v>15</v>
      </c>
      <c r="I110" s="16" t="s">
        <v>15</v>
      </c>
      <c r="J110" s="16" t="s">
        <v>15</v>
      </c>
      <c r="K110" s="16" t="s">
        <v>15</v>
      </c>
      <c r="L110" s="16" t="s">
        <v>15</v>
      </c>
      <c r="M110" s="16" t="s">
        <v>15</v>
      </c>
      <c r="N110" s="1" t="s">
        <v>438</v>
      </c>
    </row>
    <row r="111" customFormat="false" ht="15" hidden="false" customHeight="true" outlineLevel="0" collapsed="false">
      <c r="A111" s="17" t="str">
        <f aca="false">IFERROR(VLOOKUP(B111,'Product Master'!$A:$C,3,0),"")</f>
        <v>BETA IMPORTS</v>
      </c>
      <c r="B111" s="18" t="s">
        <v>236</v>
      </c>
      <c r="C111" s="19" t="str">
        <f aca="false">IFERROR(VLOOKUP(B111,'Product Master'!$A:$B,2,0),"")</f>
        <v>PASTE, TOMATO DOUBLE CONCENTRATED 158.78 OZ BOH (MUTTI)</v>
      </c>
      <c r="D111" s="20" t="str">
        <f aca="false">IFERROR(VLOOKUP(B111,'Product Master'!$A:$E,5,0),"")</f>
        <v>ea</v>
      </c>
      <c r="E111" s="14" t="str">
        <f aca="false">IFERROR(VLOOKUP(B111,'Product Master'!$A:$D,4,0),"")</f>
        <v>Dry Goods &amp; Pantry</v>
      </c>
      <c r="F111" s="21"/>
      <c r="G111" s="22" t="s">
        <v>15</v>
      </c>
      <c r="H111" s="22" t="s">
        <v>15</v>
      </c>
      <c r="I111" s="22" t="s">
        <v>15</v>
      </c>
      <c r="J111" s="22" t="s">
        <v>15</v>
      </c>
      <c r="K111" s="22" t="s">
        <v>15</v>
      </c>
      <c r="L111" s="22" t="s">
        <v>15</v>
      </c>
      <c r="M111" s="22" t="s">
        <v>15</v>
      </c>
      <c r="N111" s="1" t="s">
        <v>439</v>
      </c>
    </row>
    <row r="112" customFormat="false" ht="15" hidden="false" customHeight="true" outlineLevel="0" collapsed="false">
      <c r="A112" s="10" t="str">
        <f aca="false">IFERROR(VLOOKUP(B112,'Product Master'!$A:$C,3,0),"")</f>
        <v>BETA IMPORTS</v>
      </c>
      <c r="B112" s="11" t="s">
        <v>440</v>
      </c>
      <c r="C112" s="12" t="str">
        <f aca="false">IFERROR(VLOOKUP(B112,'Product Master'!$A:$B,2,0),"")</f>
        <v>TOMATO PULP, POLPA DI POMODORO 3 KG 6.6 LB (MUTTI) (FOODSERV</v>
      </c>
      <c r="D112" s="13" t="str">
        <f aca="false">IFERROR(VLOOKUP(B112,'Product Master'!$A:$E,5,0),"")</f>
        <v>ea</v>
      </c>
      <c r="E112" s="14" t="str">
        <f aca="false">IFERROR(VLOOKUP(B112,'Product Master'!$A:$D,4,0),"")</f>
        <v>Dry Goods &amp; Pantry</v>
      </c>
      <c r="F112" s="15"/>
      <c r="G112" s="16" t="s">
        <v>15</v>
      </c>
      <c r="H112" s="16" t="s">
        <v>15</v>
      </c>
      <c r="I112" s="16" t="s">
        <v>15</v>
      </c>
      <c r="J112" s="16" t="s">
        <v>15</v>
      </c>
      <c r="K112" s="16" t="s">
        <v>15</v>
      </c>
      <c r="L112" s="16" t="s">
        <v>15</v>
      </c>
      <c r="M112" s="16" t="s">
        <v>15</v>
      </c>
      <c r="N112" s="1" t="s">
        <v>441</v>
      </c>
    </row>
    <row r="113" customFormat="false" ht="15" hidden="false" customHeight="true" outlineLevel="0" collapsed="false">
      <c r="A113" s="17" t="str">
        <f aca="false">IFERROR(VLOOKUP(B113,'Product Master'!$A:$C,3,0),"")</f>
        <v>BETA IMPORTS</v>
      </c>
      <c r="B113" s="18" t="s">
        <v>442</v>
      </c>
      <c r="C113" s="19" t="str">
        <f aca="false">IFERROR(VLOOKUP(B113,'Product Master'!$A:$B,2,0),"")</f>
        <v>TOMATO PULP, POLPA DI POMODORO 5 KG 11lbs BOH (MUTTI) </v>
      </c>
      <c r="D113" s="20" t="str">
        <f aca="false">IFERROR(VLOOKUP(B113,'Product Master'!$A:$E,5,0),"")</f>
        <v>ea</v>
      </c>
      <c r="E113" s="14" t="str">
        <f aca="false">IFERROR(VLOOKUP(B113,'Product Master'!$A:$D,4,0),"")</f>
        <v>Dry Goods &amp; Pantry</v>
      </c>
      <c r="F113" s="21"/>
      <c r="G113" s="22" t="s">
        <v>15</v>
      </c>
      <c r="H113" s="22" t="s">
        <v>15</v>
      </c>
      <c r="I113" s="22" t="s">
        <v>15</v>
      </c>
      <c r="J113" s="22" t="s">
        <v>15</v>
      </c>
      <c r="K113" s="22" t="s">
        <v>15</v>
      </c>
      <c r="L113" s="22" t="s">
        <v>15</v>
      </c>
      <c r="M113" s="22" t="s">
        <v>15</v>
      </c>
      <c r="N113" s="1" t="s">
        <v>406</v>
      </c>
    </row>
    <row r="114" customFormat="false" ht="15" hidden="false" customHeight="true" outlineLevel="0" collapsed="false">
      <c r="A114" s="10" t="str">
        <f aca="false">IFERROR(VLOOKUP(B114,'Product Master'!$A:$C,3,0),"")</f>
        <v>BETA IMPORTS</v>
      </c>
      <c r="B114" s="11" t="s">
        <v>238</v>
      </c>
      <c r="C114" s="12" t="str">
        <f aca="false">IFERROR(VLOOKUP(B114,'Product Master'!$A:$B,2,0),"")</f>
        <v>TOMATOES, POMODORI PELATI (PEELED) 6 LB 9.8OZ BOH (MUTTI) </v>
      </c>
      <c r="D114" s="13" t="str">
        <f aca="false">IFERROR(VLOOKUP(B114,'Product Master'!$A:$E,5,0),"")</f>
        <v>ea</v>
      </c>
      <c r="E114" s="14" t="str">
        <f aca="false">IFERROR(VLOOKUP(B114,'Product Master'!$A:$D,4,0),"")</f>
        <v>Dry Goods &amp; Pantry</v>
      </c>
      <c r="F114" s="15"/>
      <c r="G114" s="16" t="s">
        <v>15</v>
      </c>
      <c r="H114" s="16" t="s">
        <v>15</v>
      </c>
      <c r="I114" s="16" t="s">
        <v>15</v>
      </c>
      <c r="J114" s="16" t="s">
        <v>15</v>
      </c>
      <c r="K114" s="16" t="s">
        <v>15</v>
      </c>
      <c r="L114" s="16" t="s">
        <v>15</v>
      </c>
      <c r="M114" s="16" t="s">
        <v>15</v>
      </c>
      <c r="N114" s="1" t="s">
        <v>443</v>
      </c>
    </row>
    <row r="115" customFormat="false" ht="12.75" hidden="false" customHeight="true" outlineLevel="0" collapsed="false">
      <c r="A115" s="56" t="s">
        <v>240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1" t="s">
        <v>13</v>
      </c>
    </row>
    <row r="116" customFormat="false" ht="15" hidden="false" customHeight="true" outlineLevel="0" collapsed="false">
      <c r="A116" s="10" t="str">
        <f aca="false">IFERROR(VLOOKUP(B116,'Product Master'!$A:$C,3,0),"")</f>
        <v>BETA IMPORTS</v>
      </c>
      <c r="B116" s="11" t="s">
        <v>241</v>
      </c>
      <c r="C116" s="12" t="str">
        <f aca="false">IFERROR(VLOOKUP(B116,'Product Master'!$A:$B,2,0),"")</f>
        <v>RICE, ARBORIO (BOH) 1 KG [RISO SCOTTI]</v>
      </c>
      <c r="D116" s="13" t="str">
        <f aca="false">IFERROR(VLOOKUP(B116,'Product Master'!$A:$E,5,0),"")</f>
        <v>ea</v>
      </c>
      <c r="E116" s="57" t="str">
        <f aca="false">IFERROR(VLOOKUP(B116,'Product Master'!$A:$D,4,0),"")</f>
        <v>Pasta &amp; Grains</v>
      </c>
      <c r="F116" s="15"/>
      <c r="G116" s="16" t="s">
        <v>15</v>
      </c>
      <c r="H116" s="16" t="s">
        <v>15</v>
      </c>
      <c r="I116" s="16" t="s">
        <v>15</v>
      </c>
      <c r="J116" s="16" t="s">
        <v>15</v>
      </c>
      <c r="K116" s="16" t="s">
        <v>15</v>
      </c>
      <c r="L116" s="16" t="s">
        <v>15</v>
      </c>
      <c r="M116" s="16" t="s">
        <v>15</v>
      </c>
      <c r="N116" s="1" t="s">
        <v>444</v>
      </c>
    </row>
    <row r="117" customFormat="false" ht="19.5" hidden="false" customHeight="true" outlineLevel="0" collapsed="false">
      <c r="A117" s="58" t="s">
        <v>243</v>
      </c>
      <c r="B117" s="58"/>
      <c r="C117" s="59" t="s">
        <v>244</v>
      </c>
      <c r="D117" s="59"/>
      <c r="E117" s="59"/>
      <c r="F117" s="60"/>
      <c r="G117" s="60"/>
      <c r="H117" s="60"/>
      <c r="I117" s="60"/>
      <c r="J117" s="60"/>
      <c r="K117" s="60"/>
      <c r="L117" s="60"/>
      <c r="M117" s="60"/>
      <c r="N117" s="1" t="s">
        <v>11</v>
      </c>
    </row>
    <row r="118" customFormat="false" ht="12.75" hidden="false" customHeight="true" outlineLevel="0" collapsed="false">
      <c r="A118" s="9" t="s">
        <v>12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" t="s">
        <v>13</v>
      </c>
    </row>
    <row r="119" customFormat="false" ht="15" hidden="false" customHeight="true" outlineLevel="0" collapsed="false">
      <c r="A119" s="10" t="str">
        <f aca="false">IFERROR(VLOOKUP(B119,'Product Master'!$A:$C,3,0),"")</f>
        <v>CHEFS WAREHOUSE</v>
      </c>
      <c r="B119" s="11" t="s">
        <v>247</v>
      </c>
      <c r="C119" s="12" t="str">
        <f aca="false">IFERROR(VLOOKUP(B119,'Product Master'!$A:$B,2,0),"")</f>
        <v>PEPPER, RED CRUSHED</v>
      </c>
      <c r="D119" s="13" t="str">
        <f aca="false">IFERROR(VLOOKUP(B119,'Product Master'!$A:$E,5,0),"")</f>
        <v>CA1</v>
      </c>
      <c r="E119" s="14" t="str">
        <f aca="false">IFERROR(VLOOKUP(B119,'Product Master'!$A:$D,4,0),"")</f>
        <v>Dry Goods &amp; Pantry</v>
      </c>
      <c r="F119" s="15"/>
      <c r="G119" s="16" t="s">
        <v>15</v>
      </c>
      <c r="H119" s="16" t="s">
        <v>15</v>
      </c>
      <c r="I119" s="16" t="s">
        <v>15</v>
      </c>
      <c r="J119" s="16" t="s">
        <v>15</v>
      </c>
      <c r="K119" s="16" t="s">
        <v>15</v>
      </c>
      <c r="L119" s="16" t="s">
        <v>15</v>
      </c>
      <c r="M119" s="16" t="s">
        <v>15</v>
      </c>
      <c r="N119" s="1" t="s">
        <v>445</v>
      </c>
    </row>
    <row r="120" customFormat="false" ht="12.75" hidden="false" customHeight="true" outlineLevel="0" collapsed="false">
      <c r="A120" s="23" t="s">
        <v>19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1" t="s">
        <v>13</v>
      </c>
    </row>
    <row r="121" customFormat="false" ht="15" hidden="false" customHeight="true" outlineLevel="0" collapsed="false">
      <c r="A121" s="10" t="str">
        <f aca="false">IFERROR(VLOOKUP(B121,'Product Master'!$A:$C,3,0),"")</f>
        <v>CHEFS WAREHOUSE</v>
      </c>
      <c r="B121" s="11" t="s">
        <v>446</v>
      </c>
      <c r="C121" s="12" t="str">
        <f aca="false">IFERROR(VLOOKUP(B121,'Product Master'!$A:$B,2,0),"")</f>
        <v>BEANS, GARBANZO DRY</v>
      </c>
      <c r="D121" s="13" t="str">
        <f aca="false">IFERROR(VLOOKUP(B121,'Product Master'!$A:$E,5,0),"")</f>
        <v>ea</v>
      </c>
      <c r="E121" s="24" t="str">
        <f aca="false">IFERROR(VLOOKUP(B121,'Product Master'!$A:$D,4,0),"")</f>
        <v>Other</v>
      </c>
      <c r="F121" s="15"/>
      <c r="G121" s="16" t="s">
        <v>15</v>
      </c>
      <c r="H121" s="16" t="s">
        <v>15</v>
      </c>
      <c r="I121" s="16" t="s">
        <v>15</v>
      </c>
      <c r="J121" s="16" t="s">
        <v>15</v>
      </c>
      <c r="K121" s="16" t="s">
        <v>15</v>
      </c>
      <c r="L121" s="16" t="s">
        <v>15</v>
      </c>
      <c r="M121" s="16" t="s">
        <v>15</v>
      </c>
      <c r="N121" s="1" t="s">
        <v>447</v>
      </c>
    </row>
    <row r="122" customFormat="false" ht="15" hidden="false" customHeight="true" outlineLevel="0" collapsed="false">
      <c r="A122" s="17" t="str">
        <f aca="false">IFERROR(VLOOKUP(B122,'Product Master'!$A:$C,3,0),"")</f>
        <v>NO VENDOR</v>
      </c>
      <c r="B122" s="18" t="s">
        <v>448</v>
      </c>
      <c r="C122" s="19" t="str">
        <f aca="false">IFERROR(VLOOKUP(B122,'Product Master'!$A:$B,2,0),"")</f>
        <v>BRESAOLA (BERETTA)</v>
      </c>
      <c r="D122" s="20" t="str">
        <f aca="false">IFERROR(VLOOKUP(B122,'Product Master'!$A:$E,5,0),"")</f>
        <v>ea</v>
      </c>
      <c r="E122" s="24" t="str">
        <f aca="false">IFERROR(VLOOKUP(B122,'Product Master'!$A:$D,4,0),"")</f>
        <v>Other</v>
      </c>
      <c r="F122" s="21"/>
      <c r="G122" s="22" t="s">
        <v>15</v>
      </c>
      <c r="H122" s="22" t="s">
        <v>15</v>
      </c>
      <c r="I122" s="22" t="s">
        <v>15</v>
      </c>
      <c r="J122" s="22" t="s">
        <v>15</v>
      </c>
      <c r="K122" s="22" t="s">
        <v>15</v>
      </c>
      <c r="L122" s="22" t="s">
        <v>15</v>
      </c>
      <c r="M122" s="22" t="s">
        <v>15</v>
      </c>
      <c r="N122" s="1" t="s">
        <v>406</v>
      </c>
    </row>
    <row r="123" customFormat="false" ht="15" hidden="false" customHeight="true" outlineLevel="0" collapsed="false">
      <c r="A123" s="10" t="str">
        <f aca="false">IFERROR(VLOOKUP(B123,'Product Master'!$A:$C,3,0),"")</f>
        <v>BALDOR</v>
      </c>
      <c r="B123" s="11" t="s">
        <v>449</v>
      </c>
      <c r="C123" s="12" t="str">
        <f aca="false">IFERROR(VLOOKUP(B123,'Product Master'!$A:$B,2,0),"")</f>
        <v>GINGER FRESH</v>
      </c>
      <c r="D123" s="13" t="str">
        <f aca="false">IFERROR(VLOOKUP(B123,'Product Master'!$A:$E,5,0),"")</f>
        <v>ea</v>
      </c>
      <c r="E123" s="24" t="str">
        <f aca="false">IFERROR(VLOOKUP(B123,'Product Master'!$A:$D,4,0),"")</f>
        <v>Other</v>
      </c>
      <c r="F123" s="15"/>
      <c r="G123" s="16" t="s">
        <v>15</v>
      </c>
      <c r="H123" s="16" t="s">
        <v>15</v>
      </c>
      <c r="I123" s="16" t="s">
        <v>15</v>
      </c>
      <c r="J123" s="16" t="s">
        <v>15</v>
      </c>
      <c r="K123" s="16" t="s">
        <v>15</v>
      </c>
      <c r="L123" s="16" t="s">
        <v>15</v>
      </c>
      <c r="M123" s="16" t="s">
        <v>15</v>
      </c>
      <c r="N123" s="1" t="s">
        <v>393</v>
      </c>
    </row>
    <row r="124" customFormat="false" ht="15" hidden="false" customHeight="true" outlineLevel="0" collapsed="false">
      <c r="A124" s="17" t="str">
        <f aca="false">IFERROR(VLOOKUP(B124,'Product Master'!$A:$C,3,0),"")</f>
        <v>NO VENDOR</v>
      </c>
      <c r="B124" s="18" t="s">
        <v>253</v>
      </c>
      <c r="C124" s="19" t="str">
        <f aca="false">IFERROR(VLOOKUP(B124,'Product Master'!$A:$B,2,0),"")</f>
        <v>MALT, DIASTATIC POWDER</v>
      </c>
      <c r="D124" s="20" t="str">
        <f aca="false">IFERROR(VLOOKUP(B124,'Product Master'!$A:$E,5,0),"")</f>
        <v>CA1</v>
      </c>
      <c r="E124" s="24" t="str">
        <f aca="false">IFERROR(VLOOKUP(B124,'Product Master'!$A:$D,4,0),"")</f>
        <v>Other</v>
      </c>
      <c r="F124" s="21"/>
      <c r="G124" s="22" t="s">
        <v>15</v>
      </c>
      <c r="H124" s="22" t="s">
        <v>15</v>
      </c>
      <c r="I124" s="22" t="s">
        <v>15</v>
      </c>
      <c r="J124" s="22" t="s">
        <v>15</v>
      </c>
      <c r="K124" s="22" t="s">
        <v>15</v>
      </c>
      <c r="L124" s="22" t="s">
        <v>15</v>
      </c>
      <c r="M124" s="22" t="s">
        <v>15</v>
      </c>
      <c r="N124" s="1" t="s">
        <v>406</v>
      </c>
    </row>
    <row r="125" customFormat="false" ht="15" hidden="false" customHeight="true" outlineLevel="0" collapsed="false">
      <c r="A125" s="10" t="str">
        <f aca="false">IFERROR(VLOOKUP(B125,'Product Master'!$A:$C,3,0),"")</f>
        <v>BETA IMPORTS</v>
      </c>
      <c r="B125" s="11" t="s">
        <v>258</v>
      </c>
      <c r="C125" s="12" t="str">
        <f aca="false">IFERROR(VLOOKUP(B125,'Product Master'!$A:$B,2,0),"")</f>
        <v>OLIVE OIL, EUROPEAN BLEND 5L (OLITALIA)</v>
      </c>
      <c r="D125" s="13" t="str">
        <f aca="false">IFERROR(VLOOKUP(B125,'Product Master'!$A:$E,5,0),"")</f>
        <v>ea</v>
      </c>
      <c r="E125" s="24" t="str">
        <f aca="false">IFERROR(VLOOKUP(B125,'Product Master'!$A:$D,4,0),"")</f>
        <v>Other</v>
      </c>
      <c r="F125" s="15"/>
      <c r="G125" s="16" t="s">
        <v>15</v>
      </c>
      <c r="H125" s="16" t="s">
        <v>15</v>
      </c>
      <c r="I125" s="16" t="s">
        <v>15</v>
      </c>
      <c r="J125" s="16" t="s">
        <v>15</v>
      </c>
      <c r="K125" s="16" t="s">
        <v>15</v>
      </c>
      <c r="L125" s="16" t="s">
        <v>15</v>
      </c>
      <c r="M125" s="16" t="s">
        <v>15</v>
      </c>
      <c r="N125" s="1" t="s">
        <v>450</v>
      </c>
    </row>
    <row r="126" customFormat="false" ht="15" hidden="false" customHeight="true" outlineLevel="0" collapsed="false">
      <c r="A126" s="17" t="str">
        <f aca="false">IFERROR(VLOOKUP(B126,'Product Master'!$A:$C,3,0),"")</f>
        <v>BALDOR</v>
      </c>
      <c r="B126" s="18" t="s">
        <v>451</v>
      </c>
      <c r="C126" s="19" t="str">
        <f aca="false">IFERROR(VLOOKUP(B126,'Product Master'!$A:$B,2,0),"")</f>
        <v>SNOWPEAS</v>
      </c>
      <c r="D126" s="20" t="str">
        <f aca="false">IFERROR(VLOOKUP(B126,'Product Master'!$A:$E,5,0),"")</f>
        <v>ea</v>
      </c>
      <c r="E126" s="24" t="str">
        <f aca="false">IFERROR(VLOOKUP(B126,'Product Master'!$A:$D,4,0),"")</f>
        <v>Other</v>
      </c>
      <c r="F126" s="21"/>
      <c r="G126" s="22" t="s">
        <v>15</v>
      </c>
      <c r="H126" s="22" t="s">
        <v>15</v>
      </c>
      <c r="I126" s="22" t="s">
        <v>15</v>
      </c>
      <c r="J126" s="22" t="s">
        <v>15</v>
      </c>
      <c r="K126" s="22" t="s">
        <v>15</v>
      </c>
      <c r="L126" s="22" t="s">
        <v>15</v>
      </c>
      <c r="M126" s="22" t="s">
        <v>15</v>
      </c>
      <c r="N126" s="1" t="s">
        <v>452</v>
      </c>
    </row>
    <row r="127" customFormat="false" ht="12.75" hidden="false" customHeight="true" outlineLevel="0" collapsed="false">
      <c r="A127" s="27" t="s">
        <v>31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1" t="s">
        <v>13</v>
      </c>
    </row>
    <row r="128" customFormat="false" ht="15" hidden="false" customHeight="true" outlineLevel="0" collapsed="false">
      <c r="A128" s="10" t="str">
        <f aca="false">IFERROR(VLOOKUP(B128,'Product Master'!$A:$C,3,0),"")</f>
        <v>BALDOR</v>
      </c>
      <c r="B128" s="11" t="s">
        <v>278</v>
      </c>
      <c r="C128" s="12" t="str">
        <f aca="false">IFERROR(VLOOKUP(B128,'Product Master'!$A:$B,2,0),"")</f>
        <v>BASIL, LOOSE</v>
      </c>
      <c r="D128" s="13" t="str">
        <f aca="false">IFERROR(VLOOKUP(B128,'Product Master'!$A:$E,5,0),"")</f>
        <v>lb</v>
      </c>
      <c r="E128" s="28" t="str">
        <f aca="false">IFERROR(VLOOKUP(B128,'Product Master'!$A:$D,4,0),"")</f>
        <v>Produce - Veg &amp; Fruit</v>
      </c>
      <c r="F128" s="15"/>
      <c r="G128" s="16" t="s">
        <v>15</v>
      </c>
      <c r="H128" s="16" t="s">
        <v>15</v>
      </c>
      <c r="I128" s="16" t="s">
        <v>15</v>
      </c>
      <c r="J128" s="16" t="s">
        <v>15</v>
      </c>
      <c r="K128" s="16" t="s">
        <v>15</v>
      </c>
      <c r="L128" s="16" t="s">
        <v>15</v>
      </c>
      <c r="M128" s="16" t="s">
        <v>15</v>
      </c>
      <c r="N128" s="1" t="s">
        <v>453</v>
      </c>
    </row>
    <row r="129" customFormat="false" ht="15" hidden="false" customHeight="true" outlineLevel="0" collapsed="false">
      <c r="A129" s="17" t="str">
        <f aca="false">IFERROR(VLOOKUP(B129,'Product Master'!$A:$C,3,0),"")</f>
        <v>BALDOR</v>
      </c>
      <c r="B129" s="18" t="s">
        <v>280</v>
      </c>
      <c r="C129" s="19" t="str">
        <f aca="false">IFERROR(VLOOKUP(B129,'Product Master'!$A:$B,2,0),"")</f>
        <v>BAY LEAVES, FRESH</v>
      </c>
      <c r="D129" s="20" t="str">
        <f aca="false">IFERROR(VLOOKUP(B129,'Product Master'!$A:$E,5,0),"")</f>
        <v>CA1</v>
      </c>
      <c r="E129" s="28" t="str">
        <f aca="false">IFERROR(VLOOKUP(B129,'Product Master'!$A:$D,4,0),"")</f>
        <v>Produce - Veg &amp; Fruit</v>
      </c>
      <c r="F129" s="21"/>
      <c r="G129" s="22" t="s">
        <v>15</v>
      </c>
      <c r="H129" s="22" t="s">
        <v>15</v>
      </c>
      <c r="I129" s="22" t="s">
        <v>15</v>
      </c>
      <c r="J129" s="22" t="s">
        <v>15</v>
      </c>
      <c r="K129" s="22" t="s">
        <v>15</v>
      </c>
      <c r="L129" s="22" t="s">
        <v>15</v>
      </c>
      <c r="M129" s="22" t="s">
        <v>15</v>
      </c>
      <c r="N129" s="1" t="s">
        <v>454</v>
      </c>
    </row>
    <row r="130" customFormat="false" ht="15" hidden="false" customHeight="true" outlineLevel="0" collapsed="false">
      <c r="A130" s="10" t="str">
        <f aca="false">IFERROR(VLOOKUP(B130,'Product Master'!$A:$C,3,0),"")</f>
        <v>BALDOR</v>
      </c>
      <c r="B130" s="11" t="s">
        <v>455</v>
      </c>
      <c r="C130" s="12" t="str">
        <f aca="false">IFERROR(VLOOKUP(B130,'Product Master'!$A:$B,2,0),"")</f>
        <v>PEA, TENDRILS</v>
      </c>
      <c r="D130" s="13" t="str">
        <f aca="false">IFERROR(VLOOKUP(B130,'Product Master'!$A:$E,5,0),"")</f>
        <v>CA1</v>
      </c>
      <c r="E130" s="28" t="str">
        <f aca="false">IFERROR(VLOOKUP(B130,'Product Master'!$A:$D,4,0),"")</f>
        <v>Produce - Veg &amp; Fruit</v>
      </c>
      <c r="F130" s="15"/>
      <c r="G130" s="16" t="s">
        <v>15</v>
      </c>
      <c r="H130" s="16" t="s">
        <v>15</v>
      </c>
      <c r="I130" s="16" t="s">
        <v>15</v>
      </c>
      <c r="J130" s="16" t="s">
        <v>15</v>
      </c>
      <c r="K130" s="16" t="s">
        <v>15</v>
      </c>
      <c r="L130" s="16" t="s">
        <v>15</v>
      </c>
      <c r="M130" s="16" t="s">
        <v>15</v>
      </c>
      <c r="N130" s="1" t="s">
        <v>447</v>
      </c>
    </row>
    <row r="131" customFormat="false" ht="15" hidden="false" customHeight="true" outlineLevel="0" collapsed="false">
      <c r="A131" s="17" t="str">
        <f aca="false">IFERROR(VLOOKUP(B131,'Product Master'!$A:$C,3,0),"")</f>
        <v>NO VENDOR</v>
      </c>
      <c r="B131" s="18" t="s">
        <v>284</v>
      </c>
      <c r="C131" s="19" t="str">
        <f aca="false">IFERROR(VLOOKUP(B131,'Product Master'!$A:$B,2,0),"")</f>
        <v>WATER, FOR RECIPES ONLY</v>
      </c>
      <c r="D131" s="20" t="str">
        <f aca="false">IFERROR(VLOOKUP(B131,'Product Master'!$A:$E,5,0),"")</f>
        <v>ML</v>
      </c>
      <c r="E131" s="28" t="str">
        <f aca="false">IFERROR(VLOOKUP(B131,'Product Master'!$A:$D,4,0),"")</f>
        <v>Produce - Veg &amp; Fruit</v>
      </c>
      <c r="F131" s="21"/>
      <c r="G131" s="22" t="s">
        <v>15</v>
      </c>
      <c r="H131" s="22" t="s">
        <v>15</v>
      </c>
      <c r="I131" s="22" t="s">
        <v>15</v>
      </c>
      <c r="J131" s="22" t="s">
        <v>15</v>
      </c>
      <c r="K131" s="22" t="s">
        <v>15</v>
      </c>
      <c r="L131" s="22" t="s">
        <v>15</v>
      </c>
      <c r="M131" s="22" t="s">
        <v>15</v>
      </c>
      <c r="N131" s="1" t="s">
        <v>456</v>
      </c>
    </row>
    <row r="132" customFormat="false" ht="19.5" hidden="false" customHeight="true" outlineLevel="0" collapsed="false">
      <c r="A132" s="58" t="s">
        <v>243</v>
      </c>
      <c r="B132" s="58"/>
      <c r="C132" s="59" t="s">
        <v>244</v>
      </c>
      <c r="D132" s="59"/>
      <c r="E132" s="59"/>
      <c r="F132" s="60"/>
      <c r="G132" s="60"/>
      <c r="H132" s="60"/>
      <c r="I132" s="60"/>
      <c r="J132" s="60"/>
      <c r="K132" s="60"/>
      <c r="L132" s="60"/>
      <c r="M132" s="60"/>
      <c r="N132" s="1" t="s">
        <v>11</v>
      </c>
    </row>
    <row r="133" customFormat="false" ht="12.75" hidden="false" customHeight="true" outlineLevel="0" collapsed="false">
      <c r="A133" s="9" t="s">
        <v>12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" t="s">
        <v>13</v>
      </c>
    </row>
    <row r="134" customFormat="false" ht="15" hidden="false" customHeight="true" outlineLevel="0" collapsed="false">
      <c r="A134" s="10" t="str">
        <f aca="false">IFERROR(VLOOKUP(B134,'Product Master'!$A:$C,3,0),"")</f>
        <v>CHEFS WAREHOUSE</v>
      </c>
      <c r="B134" s="11" t="s">
        <v>247</v>
      </c>
      <c r="C134" s="12" t="str">
        <f aca="false">IFERROR(VLOOKUP(B134,'Product Master'!$A:$B,2,0),"")</f>
        <v>PEPPER, RED CRUSHED</v>
      </c>
      <c r="D134" s="13" t="str">
        <f aca="false">IFERROR(VLOOKUP(B134,'Product Master'!$A:$E,5,0),"")</f>
        <v>CA1</v>
      </c>
      <c r="E134" s="14" t="str">
        <f aca="false">IFERROR(VLOOKUP(B134,'Product Master'!$A:$D,4,0),"")</f>
        <v>Dry Goods &amp; Pantry</v>
      </c>
      <c r="F134" s="15"/>
      <c r="G134" s="16" t="s">
        <v>15</v>
      </c>
      <c r="H134" s="16" t="s">
        <v>15</v>
      </c>
      <c r="I134" s="16" t="s">
        <v>15</v>
      </c>
      <c r="J134" s="16" t="s">
        <v>15</v>
      </c>
      <c r="K134" s="16" t="s">
        <v>15</v>
      </c>
      <c r="L134" s="16" t="s">
        <v>15</v>
      </c>
      <c r="M134" s="16" t="s">
        <v>15</v>
      </c>
      <c r="N134" s="1" t="s">
        <v>445</v>
      </c>
    </row>
    <row r="135" customFormat="false" ht="12.75" hidden="false" customHeight="true" outlineLevel="0" collapsed="false">
      <c r="A135" s="23" t="s">
        <v>19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1" t="s">
        <v>13</v>
      </c>
    </row>
    <row r="136" customFormat="false" ht="15" hidden="false" customHeight="true" outlineLevel="0" collapsed="false">
      <c r="A136" s="10" t="str">
        <f aca="false">IFERROR(VLOOKUP(B136,'Product Master'!$A:$C,3,0),"")</f>
        <v>CHEFS WAREHOUSE</v>
      </c>
      <c r="B136" s="11" t="s">
        <v>446</v>
      </c>
      <c r="C136" s="12" t="str">
        <f aca="false">IFERROR(VLOOKUP(B136,'Product Master'!$A:$B,2,0),"")</f>
        <v>BEANS, GARBANZO DRY</v>
      </c>
      <c r="D136" s="13" t="str">
        <f aca="false">IFERROR(VLOOKUP(B136,'Product Master'!$A:$E,5,0),"")</f>
        <v>ea</v>
      </c>
      <c r="E136" s="24" t="str">
        <f aca="false">IFERROR(VLOOKUP(B136,'Product Master'!$A:$D,4,0),"")</f>
        <v>Other</v>
      </c>
      <c r="F136" s="15"/>
      <c r="G136" s="16" t="s">
        <v>15</v>
      </c>
      <c r="H136" s="16" t="s">
        <v>15</v>
      </c>
      <c r="I136" s="16" t="s">
        <v>15</v>
      </c>
      <c r="J136" s="16" t="s">
        <v>15</v>
      </c>
      <c r="K136" s="16" t="s">
        <v>15</v>
      </c>
      <c r="L136" s="16" t="s">
        <v>15</v>
      </c>
      <c r="M136" s="16" t="s">
        <v>15</v>
      </c>
      <c r="N136" s="1" t="s">
        <v>447</v>
      </c>
    </row>
    <row r="137" customFormat="false" ht="15" hidden="false" customHeight="true" outlineLevel="0" collapsed="false">
      <c r="A137" s="17" t="str">
        <f aca="false">IFERROR(VLOOKUP(B137,'Product Master'!$A:$C,3,0),"")</f>
        <v>NO VENDOR</v>
      </c>
      <c r="B137" s="18" t="s">
        <v>448</v>
      </c>
      <c r="C137" s="19" t="str">
        <f aca="false">IFERROR(VLOOKUP(B137,'Product Master'!$A:$B,2,0),"")</f>
        <v>BRESAOLA (BERETTA)</v>
      </c>
      <c r="D137" s="20" t="str">
        <f aca="false">IFERROR(VLOOKUP(B137,'Product Master'!$A:$E,5,0),"")</f>
        <v>ea</v>
      </c>
      <c r="E137" s="24" t="str">
        <f aca="false">IFERROR(VLOOKUP(B137,'Product Master'!$A:$D,4,0),"")</f>
        <v>Other</v>
      </c>
      <c r="F137" s="21"/>
      <c r="G137" s="22" t="s">
        <v>15</v>
      </c>
      <c r="H137" s="22" t="s">
        <v>15</v>
      </c>
      <c r="I137" s="22" t="s">
        <v>15</v>
      </c>
      <c r="J137" s="22" t="s">
        <v>15</v>
      </c>
      <c r="K137" s="22" t="s">
        <v>15</v>
      </c>
      <c r="L137" s="22" t="s">
        <v>15</v>
      </c>
      <c r="M137" s="22" t="s">
        <v>15</v>
      </c>
      <c r="N137" s="1" t="s">
        <v>406</v>
      </c>
    </row>
    <row r="138" customFormat="false" ht="15" hidden="false" customHeight="true" outlineLevel="0" collapsed="false">
      <c r="A138" s="10" t="str">
        <f aca="false">IFERROR(VLOOKUP(B138,'Product Master'!$A:$C,3,0),"")</f>
        <v>BALDOR</v>
      </c>
      <c r="B138" s="11" t="s">
        <v>449</v>
      </c>
      <c r="C138" s="12" t="str">
        <f aca="false">IFERROR(VLOOKUP(B138,'Product Master'!$A:$B,2,0),"")</f>
        <v>GINGER FRESH</v>
      </c>
      <c r="D138" s="13" t="str">
        <f aca="false">IFERROR(VLOOKUP(B138,'Product Master'!$A:$E,5,0),"")</f>
        <v>ea</v>
      </c>
      <c r="E138" s="24" t="str">
        <f aca="false">IFERROR(VLOOKUP(B138,'Product Master'!$A:$D,4,0),"")</f>
        <v>Other</v>
      </c>
      <c r="F138" s="15"/>
      <c r="G138" s="16" t="s">
        <v>15</v>
      </c>
      <c r="H138" s="16" t="s">
        <v>15</v>
      </c>
      <c r="I138" s="16" t="s">
        <v>15</v>
      </c>
      <c r="J138" s="16" t="s">
        <v>15</v>
      </c>
      <c r="K138" s="16" t="s">
        <v>15</v>
      </c>
      <c r="L138" s="16" t="s">
        <v>15</v>
      </c>
      <c r="M138" s="16" t="s">
        <v>15</v>
      </c>
      <c r="N138" s="1" t="s">
        <v>393</v>
      </c>
    </row>
    <row r="139" customFormat="false" ht="15" hidden="false" customHeight="true" outlineLevel="0" collapsed="false">
      <c r="A139" s="17" t="str">
        <f aca="false">IFERROR(VLOOKUP(B139,'Product Master'!$A:$C,3,0),"")</f>
        <v>NO VENDOR</v>
      </c>
      <c r="B139" s="18" t="s">
        <v>253</v>
      </c>
      <c r="C139" s="19" t="str">
        <f aca="false">IFERROR(VLOOKUP(B139,'Product Master'!$A:$B,2,0),"")</f>
        <v>MALT, DIASTATIC POWDER</v>
      </c>
      <c r="D139" s="20" t="str">
        <f aca="false">IFERROR(VLOOKUP(B139,'Product Master'!$A:$E,5,0),"")</f>
        <v>CA1</v>
      </c>
      <c r="E139" s="24" t="str">
        <f aca="false">IFERROR(VLOOKUP(B139,'Product Master'!$A:$D,4,0),"")</f>
        <v>Other</v>
      </c>
      <c r="F139" s="21"/>
      <c r="G139" s="22" t="s">
        <v>15</v>
      </c>
      <c r="H139" s="22" t="s">
        <v>15</v>
      </c>
      <c r="I139" s="22" t="s">
        <v>15</v>
      </c>
      <c r="J139" s="22" t="s">
        <v>15</v>
      </c>
      <c r="K139" s="22" t="s">
        <v>15</v>
      </c>
      <c r="L139" s="22" t="s">
        <v>15</v>
      </c>
      <c r="M139" s="22" t="s">
        <v>15</v>
      </c>
      <c r="N139" s="1" t="s">
        <v>406</v>
      </c>
    </row>
    <row r="140" customFormat="false" ht="15" hidden="false" customHeight="true" outlineLevel="0" collapsed="false">
      <c r="A140" s="10" t="str">
        <f aca="false">IFERROR(VLOOKUP(B140,'Product Master'!$A:$C,3,0),"")</f>
        <v>BETA IMPORTS</v>
      </c>
      <c r="B140" s="11" t="s">
        <v>258</v>
      </c>
      <c r="C140" s="12" t="str">
        <f aca="false">IFERROR(VLOOKUP(B140,'Product Master'!$A:$B,2,0),"")</f>
        <v>OLIVE OIL, EUROPEAN BLEND 5L (OLITALIA)</v>
      </c>
      <c r="D140" s="13" t="str">
        <f aca="false">IFERROR(VLOOKUP(B140,'Product Master'!$A:$E,5,0),"")</f>
        <v>ea</v>
      </c>
      <c r="E140" s="24" t="str">
        <f aca="false">IFERROR(VLOOKUP(B140,'Product Master'!$A:$D,4,0),"")</f>
        <v>Other</v>
      </c>
      <c r="F140" s="15"/>
      <c r="G140" s="16" t="s">
        <v>15</v>
      </c>
      <c r="H140" s="16" t="s">
        <v>15</v>
      </c>
      <c r="I140" s="16" t="s">
        <v>15</v>
      </c>
      <c r="J140" s="16" t="s">
        <v>15</v>
      </c>
      <c r="K140" s="16" t="s">
        <v>15</v>
      </c>
      <c r="L140" s="16" t="s">
        <v>15</v>
      </c>
      <c r="M140" s="16" t="s">
        <v>15</v>
      </c>
      <c r="N140" s="1" t="s">
        <v>450</v>
      </c>
    </row>
    <row r="141" customFormat="false" ht="15" hidden="false" customHeight="true" outlineLevel="0" collapsed="false">
      <c r="A141" s="17" t="str">
        <f aca="false">IFERROR(VLOOKUP(B141,'Product Master'!$A:$C,3,0),"")</f>
        <v>BALDOR</v>
      </c>
      <c r="B141" s="18" t="s">
        <v>451</v>
      </c>
      <c r="C141" s="19" t="str">
        <f aca="false">IFERROR(VLOOKUP(B141,'Product Master'!$A:$B,2,0),"")</f>
        <v>SNOWPEAS</v>
      </c>
      <c r="D141" s="20" t="str">
        <f aca="false">IFERROR(VLOOKUP(B141,'Product Master'!$A:$E,5,0),"")</f>
        <v>ea</v>
      </c>
      <c r="E141" s="24" t="str">
        <f aca="false">IFERROR(VLOOKUP(B141,'Product Master'!$A:$D,4,0),"")</f>
        <v>Other</v>
      </c>
      <c r="F141" s="21"/>
      <c r="G141" s="22" t="s">
        <v>15</v>
      </c>
      <c r="H141" s="22" t="s">
        <v>15</v>
      </c>
      <c r="I141" s="22" t="s">
        <v>15</v>
      </c>
      <c r="J141" s="22" t="s">
        <v>15</v>
      </c>
      <c r="K141" s="22" t="s">
        <v>15</v>
      </c>
      <c r="L141" s="22" t="s">
        <v>15</v>
      </c>
      <c r="M141" s="22" t="s">
        <v>15</v>
      </c>
      <c r="N141" s="1" t="s">
        <v>452</v>
      </c>
    </row>
    <row r="142" customFormat="false" ht="12.75" hidden="false" customHeight="true" outlineLevel="0" collapsed="false">
      <c r="A142" s="27" t="s">
        <v>31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1" t="s">
        <v>13</v>
      </c>
    </row>
    <row r="143" customFormat="false" ht="15" hidden="false" customHeight="true" outlineLevel="0" collapsed="false">
      <c r="A143" s="10" t="str">
        <f aca="false">IFERROR(VLOOKUP(B143,'Product Master'!$A:$C,3,0),"")</f>
        <v>BALDOR</v>
      </c>
      <c r="B143" s="11" t="s">
        <v>278</v>
      </c>
      <c r="C143" s="12" t="str">
        <f aca="false">IFERROR(VLOOKUP(B143,'Product Master'!$A:$B,2,0),"")</f>
        <v>BASIL, LOOSE</v>
      </c>
      <c r="D143" s="13" t="str">
        <f aca="false">IFERROR(VLOOKUP(B143,'Product Master'!$A:$E,5,0),"")</f>
        <v>lb</v>
      </c>
      <c r="E143" s="28" t="str">
        <f aca="false">IFERROR(VLOOKUP(B143,'Product Master'!$A:$D,4,0),"")</f>
        <v>Produce - Veg &amp; Fruit</v>
      </c>
      <c r="F143" s="15"/>
      <c r="G143" s="16" t="s">
        <v>15</v>
      </c>
      <c r="H143" s="16" t="s">
        <v>15</v>
      </c>
      <c r="I143" s="16" t="s">
        <v>15</v>
      </c>
      <c r="J143" s="16" t="s">
        <v>15</v>
      </c>
      <c r="K143" s="16" t="s">
        <v>15</v>
      </c>
      <c r="L143" s="16" t="s">
        <v>15</v>
      </c>
      <c r="M143" s="16" t="s">
        <v>15</v>
      </c>
      <c r="N143" s="1" t="s">
        <v>453</v>
      </c>
    </row>
    <row r="144" customFormat="false" ht="15" hidden="false" customHeight="true" outlineLevel="0" collapsed="false">
      <c r="A144" s="17" t="str">
        <f aca="false">IFERROR(VLOOKUP(B144,'Product Master'!$A:$C,3,0),"")</f>
        <v>BALDOR</v>
      </c>
      <c r="B144" s="18" t="s">
        <v>280</v>
      </c>
      <c r="C144" s="19" t="str">
        <f aca="false">IFERROR(VLOOKUP(B144,'Product Master'!$A:$B,2,0),"")</f>
        <v>BAY LEAVES, FRESH</v>
      </c>
      <c r="D144" s="20" t="str">
        <f aca="false">IFERROR(VLOOKUP(B144,'Product Master'!$A:$E,5,0),"")</f>
        <v>CA1</v>
      </c>
      <c r="E144" s="28" t="str">
        <f aca="false">IFERROR(VLOOKUP(B144,'Product Master'!$A:$D,4,0),"")</f>
        <v>Produce - Veg &amp; Fruit</v>
      </c>
      <c r="F144" s="21"/>
      <c r="G144" s="22" t="s">
        <v>15</v>
      </c>
      <c r="H144" s="22" t="s">
        <v>15</v>
      </c>
      <c r="I144" s="22" t="s">
        <v>15</v>
      </c>
      <c r="J144" s="22" t="s">
        <v>15</v>
      </c>
      <c r="K144" s="22" t="s">
        <v>15</v>
      </c>
      <c r="L144" s="22" t="s">
        <v>15</v>
      </c>
      <c r="M144" s="22" t="s">
        <v>15</v>
      </c>
      <c r="N144" s="1" t="s">
        <v>454</v>
      </c>
    </row>
    <row r="145" customFormat="false" ht="15" hidden="false" customHeight="true" outlineLevel="0" collapsed="false">
      <c r="A145" s="10" t="str">
        <f aca="false">IFERROR(VLOOKUP(B145,'Product Master'!$A:$C,3,0),"")</f>
        <v>BALDOR</v>
      </c>
      <c r="B145" s="11" t="s">
        <v>455</v>
      </c>
      <c r="C145" s="12" t="str">
        <f aca="false">IFERROR(VLOOKUP(B145,'Product Master'!$A:$B,2,0),"")</f>
        <v>PEA, TENDRILS</v>
      </c>
      <c r="D145" s="13" t="str">
        <f aca="false">IFERROR(VLOOKUP(B145,'Product Master'!$A:$E,5,0),"")</f>
        <v>CA1</v>
      </c>
      <c r="E145" s="28" t="str">
        <f aca="false">IFERROR(VLOOKUP(B145,'Product Master'!$A:$D,4,0),"")</f>
        <v>Produce - Veg &amp; Fruit</v>
      </c>
      <c r="F145" s="15"/>
      <c r="G145" s="16" t="s">
        <v>15</v>
      </c>
      <c r="H145" s="16" t="s">
        <v>15</v>
      </c>
      <c r="I145" s="16" t="s">
        <v>15</v>
      </c>
      <c r="J145" s="16" t="s">
        <v>15</v>
      </c>
      <c r="K145" s="16" t="s">
        <v>15</v>
      </c>
      <c r="L145" s="16" t="s">
        <v>15</v>
      </c>
      <c r="M145" s="16" t="s">
        <v>15</v>
      </c>
      <c r="N145" s="1" t="s">
        <v>447</v>
      </c>
    </row>
    <row r="146" customFormat="false" ht="15" hidden="false" customHeight="true" outlineLevel="0" collapsed="false">
      <c r="A146" s="17" t="str">
        <f aca="false">IFERROR(VLOOKUP(B146,'Product Master'!$A:$C,3,0),"")</f>
        <v>NO VENDOR</v>
      </c>
      <c r="B146" s="18" t="s">
        <v>284</v>
      </c>
      <c r="C146" s="19" t="str">
        <f aca="false">IFERROR(VLOOKUP(B146,'Product Master'!$A:$B,2,0),"")</f>
        <v>WATER, FOR RECIPES ONLY</v>
      </c>
      <c r="D146" s="20" t="str">
        <f aca="false">IFERROR(VLOOKUP(B146,'Product Master'!$A:$E,5,0),"")</f>
        <v>ML</v>
      </c>
      <c r="E146" s="28" t="str">
        <f aca="false">IFERROR(VLOOKUP(B146,'Product Master'!$A:$D,4,0),"")</f>
        <v>Produce - Veg &amp; Fruit</v>
      </c>
      <c r="F146" s="21"/>
      <c r="G146" s="22" t="s">
        <v>15</v>
      </c>
      <c r="H146" s="22" t="s">
        <v>15</v>
      </c>
      <c r="I146" s="22" t="s">
        <v>15</v>
      </c>
      <c r="J146" s="22" t="s">
        <v>15</v>
      </c>
      <c r="K146" s="22" t="s">
        <v>15</v>
      </c>
      <c r="L146" s="22" t="s">
        <v>15</v>
      </c>
      <c r="M146" s="22" t="s">
        <v>15</v>
      </c>
      <c r="N146" s="1" t="s">
        <v>456</v>
      </c>
    </row>
  </sheetData>
  <mergeCells count="62">
    <mergeCell ref="A1:M1"/>
    <mergeCell ref="A2:M2"/>
    <mergeCell ref="A5:B5"/>
    <mergeCell ref="C5:E5"/>
    <mergeCell ref="F5:M5"/>
    <mergeCell ref="A6:M6"/>
    <mergeCell ref="A9:M9"/>
    <mergeCell ref="A13:M13"/>
    <mergeCell ref="A17:M17"/>
    <mergeCell ref="A43:B43"/>
    <mergeCell ref="C43:E43"/>
    <mergeCell ref="F43:M43"/>
    <mergeCell ref="A44:M44"/>
    <mergeCell ref="A47:M47"/>
    <mergeCell ref="A50:B50"/>
    <mergeCell ref="C50:E50"/>
    <mergeCell ref="F50:M50"/>
    <mergeCell ref="A51:M51"/>
    <mergeCell ref="A53:B53"/>
    <mergeCell ref="C53:E53"/>
    <mergeCell ref="F53:M53"/>
    <mergeCell ref="A54:M54"/>
    <mergeCell ref="A56:B56"/>
    <mergeCell ref="C56:E56"/>
    <mergeCell ref="F56:M56"/>
    <mergeCell ref="A57:M57"/>
    <mergeCell ref="A59:B59"/>
    <mergeCell ref="C59:E59"/>
    <mergeCell ref="F59:M59"/>
    <mergeCell ref="A60:M60"/>
    <mergeCell ref="A62:B62"/>
    <mergeCell ref="C62:E62"/>
    <mergeCell ref="F62:M62"/>
    <mergeCell ref="A63:M63"/>
    <mergeCell ref="A65:M65"/>
    <mergeCell ref="A71:M71"/>
    <mergeCell ref="A73:B73"/>
    <mergeCell ref="C73:E73"/>
    <mergeCell ref="F73:M73"/>
    <mergeCell ref="A74:M74"/>
    <mergeCell ref="A77:M77"/>
    <mergeCell ref="A90:M90"/>
    <mergeCell ref="A96:M96"/>
    <mergeCell ref="A98:M98"/>
    <mergeCell ref="A106:M106"/>
    <mergeCell ref="A108:B108"/>
    <mergeCell ref="C108:E108"/>
    <mergeCell ref="F108:M108"/>
    <mergeCell ref="A109:M109"/>
    <mergeCell ref="A115:M115"/>
    <mergeCell ref="A117:B117"/>
    <mergeCell ref="C117:E117"/>
    <mergeCell ref="F117:M117"/>
    <mergeCell ref="A118:M118"/>
    <mergeCell ref="A120:M120"/>
    <mergeCell ref="A127:M127"/>
    <mergeCell ref="A132:B132"/>
    <mergeCell ref="C132:E132"/>
    <mergeCell ref="F132:M132"/>
    <mergeCell ref="A133:M133"/>
    <mergeCell ref="A135:M135"/>
    <mergeCell ref="A142:M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pr1">
              <controlPr defaultSize="0" print="false" autoFill="0" autoPict="0" macro="OrderSystem.RefreshProto">
                <anchor moveWithCells="true" sizeWithCells="false">
                  <from>
                    <xdr:col>6</xdr:col>
                    <xdr:colOff>0</xdr:colOff>
                    <xdr:row>1</xdr:row>
                    <xdr:rowOff>0</xdr:rowOff>
                  </from>
                  <to>
                    <xdr:col>7</xdr:col>
                    <xdr:colOff>495360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pr2">
              <controlPr defaultSize="0" print="false" autoFill="0" autoPict="0">
                <anchor moveWithCells="true" sizeWithCells="false">
                  <from>
                    <xdr:col>8</xdr:col>
                    <xdr:colOff>0</xdr:colOff>
                    <xdr:row>1</xdr:row>
                    <xdr:rowOff>0</xdr:rowOff>
                  </from>
                  <to>
                    <xdr:col>9</xdr:col>
                    <xdr:colOff>19080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pr3">
              <controlPr defaultSize="0" print="false" autoFill="0" autoPict="0">
                <anchor moveWithCells="true" sizeWithCells="false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209520</xdr:colOff>
                    <xdr:row>2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4A"/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56"/>
    <col collapsed="false" customWidth="true" hidden="false" outlineLevel="0" max="4" min="4" style="1" width="12"/>
    <col collapsed="false" customWidth="true" hidden="false" outlineLevel="0" max="5" min="5" style="1" width="7"/>
    <col collapsed="false" customWidth="true" hidden="false" outlineLevel="0" max="12" min="6" style="1" width="13"/>
    <col collapsed="false" customWidth="true" hidden="true" outlineLevel="0" max="13" min="13" style="1" width="20"/>
  </cols>
  <sheetData>
    <row r="1" customFormat="false" ht="27.75" hidden="false" customHeight="true" outlineLevel="0" collapsed="false">
      <c r="A1" s="68" t="s">
        <v>457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customFormat="false" ht="15" hidden="false" customHeight="true" outlineLevel="0" collapsed="false">
      <c r="A2" s="3" t="s">
        <v>458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.75" hidden="false" customHeight="true" outlineLevel="0" collapsed="false"/>
    <row r="4" customFormat="false" ht="27.75" hidden="false" customHeight="true" outlineLevel="0" collapsed="false">
      <c r="A4" s="69" t="s">
        <v>288</v>
      </c>
      <c r="B4" s="69" t="s">
        <v>3</v>
      </c>
      <c r="C4" s="69" t="s">
        <v>4</v>
      </c>
      <c r="D4" s="69" t="s">
        <v>5</v>
      </c>
      <c r="E4" s="69" t="s">
        <v>7</v>
      </c>
      <c r="F4" s="70" t="str">
        <f aca="true">TEXT(TODAY()-WEEKDAY(TODAY(),2)+1,"D-MMM")</f>
        <v>6-Apr</v>
      </c>
      <c r="G4" s="70" t="str">
        <f aca="true">TEXT(TODAY()-WEEKDAY(TODAY(),2)+2,"D-MMM")</f>
        <v>7-Apr</v>
      </c>
      <c r="H4" s="70" t="str">
        <f aca="true">TEXT(TODAY()-WEEKDAY(TODAY(),2)+3,"D-MMM")</f>
        <v>8-Apr</v>
      </c>
      <c r="I4" s="70" t="str">
        <f aca="true">TEXT(TODAY()-WEEKDAY(TODAY(),2)+4,"D-MMM")</f>
        <v>9-Apr</v>
      </c>
      <c r="J4" s="70" t="str">
        <f aca="true">TEXT(TODAY()-WEEKDAY(TODAY(),2)+5,"D-MMM")</f>
        <v>10-Apr</v>
      </c>
      <c r="K4" s="70" t="str">
        <f aca="true">TEXT(TODAY()-WEEKDAY(TODAY(),2)+6,"D-MMM")</f>
        <v>11-Apr</v>
      </c>
      <c r="L4" s="70" t="str">
        <f aca="true">TEXT(TODAY()-WEEKDAY(TODAY(),2)+7,"D-MMM")</f>
        <v>12-Apr</v>
      </c>
    </row>
    <row r="5" customFormat="false" ht="19.5" hidden="false" customHeight="true" outlineLevel="0" collapsed="false">
      <c r="A5" s="65" t="s">
        <v>300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1" t="s">
        <v>11</v>
      </c>
    </row>
    <row r="6" customFormat="false" ht="15" hidden="false" customHeight="true" outlineLevel="0" collapsed="false">
      <c r="A6" s="10" t="s">
        <v>301</v>
      </c>
      <c r="B6" s="11" t="s">
        <v>459</v>
      </c>
      <c r="C6" s="12" t="s">
        <v>460</v>
      </c>
      <c r="D6" s="13" t="s">
        <v>461</v>
      </c>
      <c r="E6" s="15"/>
      <c r="F6" s="16" t="s">
        <v>15</v>
      </c>
      <c r="G6" s="16" t="s">
        <v>15</v>
      </c>
      <c r="H6" s="16" t="s">
        <v>15</v>
      </c>
      <c r="I6" s="16" t="s">
        <v>15</v>
      </c>
      <c r="J6" s="16" t="s">
        <v>15</v>
      </c>
      <c r="K6" s="16" t="s">
        <v>15</v>
      </c>
      <c r="L6" s="16" t="s">
        <v>15</v>
      </c>
      <c r="M6" s="1" t="s">
        <v>459</v>
      </c>
    </row>
    <row r="7" customFormat="false" ht="15" hidden="false" customHeight="true" outlineLevel="0" collapsed="false">
      <c r="A7" s="17" t="s">
        <v>301</v>
      </c>
      <c r="B7" s="18" t="s">
        <v>462</v>
      </c>
      <c r="C7" s="19" t="s">
        <v>463</v>
      </c>
      <c r="D7" s="20" t="s">
        <v>461</v>
      </c>
      <c r="E7" s="21"/>
      <c r="F7" s="22" t="s">
        <v>15</v>
      </c>
      <c r="G7" s="22" t="s">
        <v>15</v>
      </c>
      <c r="H7" s="22" t="s">
        <v>15</v>
      </c>
      <c r="I7" s="22" t="s">
        <v>15</v>
      </c>
      <c r="J7" s="22" t="s">
        <v>15</v>
      </c>
      <c r="K7" s="22" t="s">
        <v>15</v>
      </c>
      <c r="L7" s="22" t="s">
        <v>15</v>
      </c>
      <c r="M7" s="1" t="s">
        <v>462</v>
      </c>
    </row>
    <row r="8" customFormat="false" ht="15" hidden="false" customHeight="true" outlineLevel="0" collapsed="false">
      <c r="A8" s="10" t="s">
        <v>301</v>
      </c>
      <c r="B8" s="11" t="s">
        <v>464</v>
      </c>
      <c r="C8" s="12" t="s">
        <v>465</v>
      </c>
      <c r="D8" s="13" t="s">
        <v>461</v>
      </c>
      <c r="E8" s="15"/>
      <c r="F8" s="16" t="s">
        <v>15</v>
      </c>
      <c r="G8" s="16" t="s">
        <v>15</v>
      </c>
      <c r="H8" s="16" t="s">
        <v>15</v>
      </c>
      <c r="I8" s="16" t="s">
        <v>15</v>
      </c>
      <c r="J8" s="16" t="s">
        <v>15</v>
      </c>
      <c r="K8" s="16" t="s">
        <v>15</v>
      </c>
      <c r="L8" s="16" t="s">
        <v>15</v>
      </c>
      <c r="M8" s="1" t="s">
        <v>464</v>
      </c>
    </row>
    <row r="9" customFormat="false" ht="15" hidden="false" customHeight="true" outlineLevel="0" collapsed="false">
      <c r="A9" s="17" t="s">
        <v>301</v>
      </c>
      <c r="B9" s="18" t="s">
        <v>466</v>
      </c>
      <c r="C9" s="19" t="s">
        <v>467</v>
      </c>
      <c r="D9" s="20" t="s">
        <v>461</v>
      </c>
      <c r="E9" s="21"/>
      <c r="F9" s="22" t="s">
        <v>15</v>
      </c>
      <c r="G9" s="22" t="s">
        <v>15</v>
      </c>
      <c r="H9" s="22" t="s">
        <v>15</v>
      </c>
      <c r="I9" s="22" t="s">
        <v>15</v>
      </c>
      <c r="J9" s="22" t="s">
        <v>15</v>
      </c>
      <c r="K9" s="22" t="s">
        <v>15</v>
      </c>
      <c r="L9" s="22" t="s">
        <v>15</v>
      </c>
      <c r="M9" s="1" t="s">
        <v>466</v>
      </c>
    </row>
    <row r="10" customFormat="false" ht="15" hidden="false" customHeight="true" outlineLevel="0" collapsed="false">
      <c r="A10" s="10" t="s">
        <v>301</v>
      </c>
      <c r="B10" s="11" t="s">
        <v>468</v>
      </c>
      <c r="C10" s="12" t="s">
        <v>469</v>
      </c>
      <c r="D10" s="13" t="s">
        <v>461</v>
      </c>
      <c r="E10" s="15"/>
      <c r="F10" s="16" t="s">
        <v>15</v>
      </c>
      <c r="G10" s="16" t="s">
        <v>15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15</v>
      </c>
      <c r="M10" s="1" t="s">
        <v>468</v>
      </c>
    </row>
    <row r="11" customFormat="false" ht="15" hidden="false" customHeight="true" outlineLevel="0" collapsed="false">
      <c r="A11" s="17" t="s">
        <v>301</v>
      </c>
      <c r="B11" s="18" t="s">
        <v>470</v>
      </c>
      <c r="C11" s="19" t="s">
        <v>471</v>
      </c>
      <c r="D11" s="20" t="s">
        <v>461</v>
      </c>
      <c r="E11" s="21"/>
      <c r="F11" s="22" t="s">
        <v>15</v>
      </c>
      <c r="G11" s="22" t="s">
        <v>15</v>
      </c>
      <c r="H11" s="22" t="s">
        <v>15</v>
      </c>
      <c r="I11" s="22" t="s">
        <v>15</v>
      </c>
      <c r="J11" s="22" t="s">
        <v>15</v>
      </c>
      <c r="K11" s="22" t="s">
        <v>15</v>
      </c>
      <c r="L11" s="22" t="s">
        <v>15</v>
      </c>
      <c r="M11" s="1" t="s">
        <v>470</v>
      </c>
    </row>
    <row r="12" customFormat="false" ht="15" hidden="false" customHeight="true" outlineLevel="0" collapsed="false">
      <c r="A12" s="10" t="s">
        <v>301</v>
      </c>
      <c r="B12" s="11" t="s">
        <v>472</v>
      </c>
      <c r="C12" s="12" t="s">
        <v>473</v>
      </c>
      <c r="D12" s="13" t="s">
        <v>461</v>
      </c>
      <c r="E12" s="15"/>
      <c r="F12" s="16" t="s">
        <v>15</v>
      </c>
      <c r="G12" s="16" t="s">
        <v>15</v>
      </c>
      <c r="H12" s="16" t="s">
        <v>15</v>
      </c>
      <c r="I12" s="16" t="s">
        <v>15</v>
      </c>
      <c r="J12" s="16" t="s">
        <v>15</v>
      </c>
      <c r="K12" s="16" t="s">
        <v>15</v>
      </c>
      <c r="L12" s="16" t="s">
        <v>15</v>
      </c>
      <c r="M12" s="1" t="s">
        <v>472</v>
      </c>
    </row>
    <row r="13" customFormat="false" ht="15" hidden="false" customHeight="true" outlineLevel="0" collapsed="false">
      <c r="A13" s="17" t="s">
        <v>301</v>
      </c>
      <c r="B13" s="18" t="s">
        <v>474</v>
      </c>
      <c r="C13" s="19" t="s">
        <v>475</v>
      </c>
      <c r="D13" s="20" t="s">
        <v>461</v>
      </c>
      <c r="E13" s="21"/>
      <c r="F13" s="22" t="s">
        <v>15</v>
      </c>
      <c r="G13" s="22" t="s">
        <v>15</v>
      </c>
      <c r="H13" s="22" t="s">
        <v>15</v>
      </c>
      <c r="I13" s="22" t="s">
        <v>15</v>
      </c>
      <c r="J13" s="22" t="s">
        <v>15</v>
      </c>
      <c r="K13" s="22" t="s">
        <v>15</v>
      </c>
      <c r="L13" s="22" t="s">
        <v>15</v>
      </c>
      <c r="M13" s="1" t="s">
        <v>474</v>
      </c>
    </row>
    <row r="14" customFormat="false" ht="15" hidden="false" customHeight="true" outlineLevel="0" collapsed="false">
      <c r="A14" s="10" t="s">
        <v>301</v>
      </c>
      <c r="B14" s="11" t="s">
        <v>476</v>
      </c>
      <c r="C14" s="12" t="s">
        <v>477</v>
      </c>
      <c r="D14" s="13" t="s">
        <v>461</v>
      </c>
      <c r="E14" s="15"/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" t="s">
        <v>476</v>
      </c>
    </row>
    <row r="15" customFormat="false" ht="15" hidden="false" customHeight="true" outlineLevel="0" collapsed="false">
      <c r="A15" s="17" t="s">
        <v>301</v>
      </c>
      <c r="B15" s="18" t="s">
        <v>478</v>
      </c>
      <c r="C15" s="19" t="s">
        <v>479</v>
      </c>
      <c r="D15" s="20" t="s">
        <v>461</v>
      </c>
      <c r="E15" s="21"/>
      <c r="F15" s="22" t="s">
        <v>15</v>
      </c>
      <c r="G15" s="22" t="s">
        <v>15</v>
      </c>
      <c r="H15" s="22" t="s">
        <v>15</v>
      </c>
      <c r="I15" s="22" t="s">
        <v>15</v>
      </c>
      <c r="J15" s="22" t="s">
        <v>15</v>
      </c>
      <c r="K15" s="22" t="s">
        <v>15</v>
      </c>
      <c r="L15" s="22" t="s">
        <v>15</v>
      </c>
      <c r="M15" s="1" t="s">
        <v>478</v>
      </c>
    </row>
    <row r="16" customFormat="false" ht="15" hidden="false" customHeight="true" outlineLevel="0" collapsed="false">
      <c r="A16" s="10" t="s">
        <v>301</v>
      </c>
      <c r="B16" s="11" t="s">
        <v>480</v>
      </c>
      <c r="C16" s="12" t="s">
        <v>481</v>
      </c>
      <c r="D16" s="13" t="s">
        <v>461</v>
      </c>
      <c r="E16" s="15"/>
      <c r="F16" s="16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" t="s">
        <v>480</v>
      </c>
    </row>
    <row r="17" customFormat="false" ht="15" hidden="false" customHeight="true" outlineLevel="0" collapsed="false">
      <c r="A17" s="17" t="s">
        <v>301</v>
      </c>
      <c r="B17" s="18" t="s">
        <v>482</v>
      </c>
      <c r="C17" s="19" t="s">
        <v>483</v>
      </c>
      <c r="D17" s="20" t="s">
        <v>461</v>
      </c>
      <c r="E17" s="21"/>
      <c r="F17" s="22" t="s">
        <v>15</v>
      </c>
      <c r="G17" s="22" t="s">
        <v>15</v>
      </c>
      <c r="H17" s="22" t="s">
        <v>15</v>
      </c>
      <c r="I17" s="22" t="s">
        <v>15</v>
      </c>
      <c r="J17" s="22" t="s">
        <v>15</v>
      </c>
      <c r="K17" s="22" t="s">
        <v>15</v>
      </c>
      <c r="L17" s="22" t="s">
        <v>15</v>
      </c>
      <c r="M17" s="1" t="s">
        <v>482</v>
      </c>
    </row>
    <row r="18" customFormat="false" ht="15" hidden="false" customHeight="true" outlineLevel="0" collapsed="false">
      <c r="A18" s="10" t="s">
        <v>301</v>
      </c>
      <c r="B18" s="11" t="s">
        <v>484</v>
      </c>
      <c r="C18" s="12" t="s">
        <v>485</v>
      </c>
      <c r="D18" s="13" t="s">
        <v>461</v>
      </c>
      <c r="E18" s="15"/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" t="s">
        <v>484</v>
      </c>
    </row>
    <row r="19" customFormat="false" ht="15" hidden="false" customHeight="true" outlineLevel="0" collapsed="false">
      <c r="A19" s="17" t="s">
        <v>301</v>
      </c>
      <c r="B19" s="18" t="s">
        <v>486</v>
      </c>
      <c r="C19" s="19" t="s">
        <v>487</v>
      </c>
      <c r="D19" s="20" t="s">
        <v>461</v>
      </c>
      <c r="E19" s="21"/>
      <c r="F19" s="22" t="s">
        <v>15</v>
      </c>
      <c r="G19" s="22" t="s">
        <v>15</v>
      </c>
      <c r="H19" s="22" t="s">
        <v>15</v>
      </c>
      <c r="I19" s="22" t="s">
        <v>15</v>
      </c>
      <c r="J19" s="22" t="s">
        <v>15</v>
      </c>
      <c r="K19" s="22" t="s">
        <v>15</v>
      </c>
      <c r="L19" s="22" t="s">
        <v>15</v>
      </c>
      <c r="M19" s="1" t="s">
        <v>486</v>
      </c>
    </row>
    <row r="20" customFormat="false" ht="15" hidden="false" customHeight="true" outlineLevel="0" collapsed="false">
      <c r="A20" s="10" t="s">
        <v>301</v>
      </c>
      <c r="B20" s="11" t="s">
        <v>488</v>
      </c>
      <c r="C20" s="12" t="s">
        <v>489</v>
      </c>
      <c r="D20" s="13" t="s">
        <v>461</v>
      </c>
      <c r="E20" s="15"/>
      <c r="F20" s="16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" t="s">
        <v>488</v>
      </c>
    </row>
    <row r="21" customFormat="false" ht="15" hidden="false" customHeight="true" outlineLevel="0" collapsed="false">
      <c r="A21" s="17" t="s">
        <v>301</v>
      </c>
      <c r="B21" s="18" t="s">
        <v>490</v>
      </c>
      <c r="C21" s="19" t="s">
        <v>491</v>
      </c>
      <c r="D21" s="20" t="s">
        <v>461</v>
      </c>
      <c r="E21" s="21"/>
      <c r="F21" s="22" t="s">
        <v>15</v>
      </c>
      <c r="G21" s="22" t="s">
        <v>15</v>
      </c>
      <c r="H21" s="22" t="s">
        <v>15</v>
      </c>
      <c r="I21" s="22" t="s">
        <v>15</v>
      </c>
      <c r="J21" s="22" t="s">
        <v>15</v>
      </c>
      <c r="K21" s="22" t="s">
        <v>15</v>
      </c>
      <c r="L21" s="22" t="s">
        <v>15</v>
      </c>
      <c r="M21" s="1" t="s">
        <v>490</v>
      </c>
    </row>
    <row r="22" customFormat="false" ht="15" hidden="false" customHeight="true" outlineLevel="0" collapsed="false">
      <c r="A22" s="10" t="s">
        <v>301</v>
      </c>
      <c r="B22" s="11" t="s">
        <v>492</v>
      </c>
      <c r="C22" s="12" t="s">
        <v>493</v>
      </c>
      <c r="D22" s="13" t="s">
        <v>461</v>
      </c>
      <c r="E22" s="15"/>
      <c r="F22" s="16" t="s">
        <v>15</v>
      </c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" t="s">
        <v>492</v>
      </c>
    </row>
    <row r="23" customFormat="false" ht="15" hidden="false" customHeight="true" outlineLevel="0" collapsed="false">
      <c r="A23" s="17" t="s">
        <v>301</v>
      </c>
      <c r="B23" s="18" t="s">
        <v>494</v>
      </c>
      <c r="C23" s="19" t="s">
        <v>495</v>
      </c>
      <c r="D23" s="20" t="s">
        <v>461</v>
      </c>
      <c r="E23" s="21"/>
      <c r="F23" s="22" t="s">
        <v>15</v>
      </c>
      <c r="G23" s="22" t="s">
        <v>15</v>
      </c>
      <c r="H23" s="22" t="s">
        <v>15</v>
      </c>
      <c r="I23" s="22" t="s">
        <v>15</v>
      </c>
      <c r="J23" s="22" t="s">
        <v>15</v>
      </c>
      <c r="K23" s="22" t="s">
        <v>15</v>
      </c>
      <c r="L23" s="22" t="s">
        <v>15</v>
      </c>
      <c r="M23" s="1" t="s">
        <v>494</v>
      </c>
    </row>
    <row r="24" customFormat="false" ht="15" hidden="false" customHeight="true" outlineLevel="0" collapsed="false">
      <c r="A24" s="10" t="s">
        <v>301</v>
      </c>
      <c r="B24" s="11" t="s">
        <v>496</v>
      </c>
      <c r="C24" s="12" t="s">
        <v>497</v>
      </c>
      <c r="D24" s="13" t="s">
        <v>461</v>
      </c>
      <c r="E24" s="15"/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" t="s">
        <v>496</v>
      </c>
    </row>
    <row r="25" customFormat="false" ht="15" hidden="false" customHeight="true" outlineLevel="0" collapsed="false">
      <c r="A25" s="17" t="s">
        <v>301</v>
      </c>
      <c r="B25" s="18" t="s">
        <v>498</v>
      </c>
      <c r="C25" s="19" t="s">
        <v>499</v>
      </c>
      <c r="D25" s="20" t="s">
        <v>461</v>
      </c>
      <c r="E25" s="21"/>
      <c r="F25" s="22" t="s">
        <v>15</v>
      </c>
      <c r="G25" s="22" t="s">
        <v>15</v>
      </c>
      <c r="H25" s="22" t="s">
        <v>15</v>
      </c>
      <c r="I25" s="22" t="s">
        <v>15</v>
      </c>
      <c r="J25" s="22" t="s">
        <v>15</v>
      </c>
      <c r="K25" s="22" t="s">
        <v>15</v>
      </c>
      <c r="L25" s="22" t="s">
        <v>15</v>
      </c>
      <c r="M25" s="1" t="s">
        <v>498</v>
      </c>
    </row>
    <row r="26" customFormat="false" ht="15" hidden="false" customHeight="true" outlineLevel="0" collapsed="false">
      <c r="A26" s="10" t="s">
        <v>301</v>
      </c>
      <c r="B26" s="11" t="s">
        <v>500</v>
      </c>
      <c r="C26" s="12" t="s">
        <v>501</v>
      </c>
      <c r="D26" s="13" t="s">
        <v>461</v>
      </c>
      <c r="E26" s="15"/>
      <c r="F26" s="16" t="s">
        <v>15</v>
      </c>
      <c r="G26" s="16" t="s">
        <v>15</v>
      </c>
      <c r="H26" s="16" t="s">
        <v>15</v>
      </c>
      <c r="I26" s="16" t="s">
        <v>15</v>
      </c>
      <c r="J26" s="16" t="s">
        <v>15</v>
      </c>
      <c r="K26" s="16" t="s">
        <v>15</v>
      </c>
      <c r="L26" s="16" t="s">
        <v>15</v>
      </c>
      <c r="M26" s="1" t="s">
        <v>500</v>
      </c>
    </row>
  </sheetData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re1">
              <controlPr defaultSize="0" print="false" autoFill="0" autoPict="0" macro="OrderSystem.RefreshProtoEDT">
                <anchor moveWithCells="true" sizeWithCells="false">
                  <from>
                    <xdr:col>6</xdr:col>
                    <xdr:colOff>0</xdr:colOff>
                    <xdr:row>1</xdr:row>
                    <xdr:rowOff>0</xdr:rowOff>
                  </from>
                  <to>
                    <xdr:col>7</xdr:col>
                    <xdr:colOff>495360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re2">
              <controlPr defaultSize="0" print="false" autoFill="0" autoPict="0">
                <anchor moveWithCells="true" sizeWithCells="false">
                  <from>
                    <xdr:col>8</xdr:col>
                    <xdr:colOff>0</xdr:colOff>
                    <xdr:row>1</xdr:row>
                    <xdr:rowOff>0</xdr:rowOff>
                  </from>
                  <to>
                    <xdr:col>9</xdr:col>
                    <xdr:colOff>19080</xdr:colOff>
                    <xdr:row>2</xdr:row>
                    <xdr:rowOff>28440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re3">
              <controlPr defaultSize="0" print="false" autoFill="0" autoPict="0">
                <anchor moveWithCells="true" sizeWithCells="false">
                  <from>
                    <xdr:col>10</xdr:col>
                    <xdr:colOff>0</xdr:colOff>
                    <xdr:row>1</xdr:row>
                    <xdr:rowOff>0</xdr:rowOff>
                  </from>
                  <to>
                    <xdr:col>11</xdr:col>
                    <xdr:colOff>209520</xdr:colOff>
                    <xdr:row>2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832"/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9" min="8" style="1" width="28"/>
    <col collapsed="false" customWidth="true" hidden="false" outlineLevel="0" max="10" min="10" style="1" width="30"/>
    <col collapsed="false" customWidth="true" hidden="false" outlineLevel="0" max="11" min="11" style="1" width="14"/>
  </cols>
  <sheetData>
    <row r="1" customFormat="false" ht="27.75" hidden="false" customHeight="true" outlineLevel="0" collapsed="false">
      <c r="A1" s="71" t="s">
        <v>502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customFormat="false" ht="15" hidden="false" customHeight="true" outlineLevel="0" collapsed="false">
      <c r="A2" s="3" t="s">
        <v>503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.75" hidden="false" customHeight="true" outlineLevel="0" collapsed="false"/>
    <row r="4" customFormat="false" ht="27.75" hidden="false" customHeight="true" outlineLevel="0" collapsed="false">
      <c r="A4" s="4" t="s">
        <v>504</v>
      </c>
      <c r="B4" s="4" t="s">
        <v>505</v>
      </c>
      <c r="C4" s="4" t="s">
        <v>506</v>
      </c>
      <c r="D4" s="4" t="s">
        <v>507</v>
      </c>
      <c r="E4" s="4" t="s">
        <v>508</v>
      </c>
      <c r="F4" s="4" t="s">
        <v>509</v>
      </c>
      <c r="G4" s="4" t="s">
        <v>510</v>
      </c>
      <c r="H4" s="4" t="s">
        <v>511</v>
      </c>
      <c r="I4" s="4" t="s">
        <v>512</v>
      </c>
      <c r="J4" s="4" t="s">
        <v>513</v>
      </c>
      <c r="K4" s="4" t="s">
        <v>514</v>
      </c>
    </row>
    <row r="5" customFormat="false" ht="12.75" hidden="false" customHeight="true" outlineLevel="0" collapsed="false">
      <c r="A5" s="72" t="s">
        <v>515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customFormat="false" ht="18" hidden="false" customHeight="true" outlineLevel="0" collapsed="false">
      <c r="A6" s="73" t="s">
        <v>516</v>
      </c>
      <c r="B6" s="11" t="s">
        <v>517</v>
      </c>
      <c r="C6" s="12" t="s">
        <v>518</v>
      </c>
      <c r="D6" s="10" t="s">
        <v>519</v>
      </c>
      <c r="E6" s="15" t="n">
        <v>15</v>
      </c>
      <c r="F6" s="11" t="n">
        <v>15</v>
      </c>
      <c r="G6" s="11" t="n">
        <v>0</v>
      </c>
      <c r="H6" s="74" t="s">
        <v>520</v>
      </c>
      <c r="I6" s="74" t="s">
        <v>521</v>
      </c>
      <c r="J6" s="75"/>
      <c r="K6" s="75"/>
    </row>
    <row r="7" customFormat="false" ht="18" hidden="false" customHeight="true" outlineLevel="0" collapsed="false">
      <c r="A7" s="73" t="s">
        <v>516</v>
      </c>
      <c r="B7" s="18" t="s">
        <v>522</v>
      </c>
      <c r="C7" s="19" t="s">
        <v>523</v>
      </c>
      <c r="D7" s="17" t="s">
        <v>519</v>
      </c>
      <c r="E7" s="21" t="n">
        <v>6</v>
      </c>
      <c r="F7" s="18" t="n">
        <v>6</v>
      </c>
      <c r="G7" s="18" t="n">
        <v>0</v>
      </c>
      <c r="H7" s="76" t="s">
        <v>520</v>
      </c>
      <c r="I7" s="76" t="s">
        <v>521</v>
      </c>
      <c r="J7" s="77"/>
      <c r="K7" s="77"/>
    </row>
    <row r="8" customFormat="false" ht="18" hidden="false" customHeight="true" outlineLevel="0" collapsed="false">
      <c r="A8" s="73" t="s">
        <v>516</v>
      </c>
      <c r="B8" s="11" t="s">
        <v>524</v>
      </c>
      <c r="C8" s="12" t="s">
        <v>525</v>
      </c>
      <c r="D8" s="10" t="s">
        <v>519</v>
      </c>
      <c r="E8" s="15" t="n">
        <v>7</v>
      </c>
      <c r="F8" s="11" t="n">
        <v>7</v>
      </c>
      <c r="G8" s="11" t="n">
        <v>0</v>
      </c>
      <c r="H8" s="74" t="s">
        <v>520</v>
      </c>
      <c r="I8" s="74" t="s">
        <v>521</v>
      </c>
      <c r="J8" s="75"/>
      <c r="K8" s="75"/>
    </row>
    <row r="9" customFormat="false" ht="18" hidden="false" customHeight="true" outlineLevel="0" collapsed="false">
      <c r="A9" s="73" t="s">
        <v>516</v>
      </c>
      <c r="B9" s="18" t="s">
        <v>526</v>
      </c>
      <c r="C9" s="19" t="s">
        <v>527</v>
      </c>
      <c r="D9" s="17" t="s">
        <v>519</v>
      </c>
      <c r="E9" s="21" t="n">
        <v>17</v>
      </c>
      <c r="F9" s="18" t="n">
        <v>17</v>
      </c>
      <c r="G9" s="18" t="n">
        <v>0</v>
      </c>
      <c r="H9" s="76" t="s">
        <v>520</v>
      </c>
      <c r="I9" s="76" t="s">
        <v>521</v>
      </c>
      <c r="J9" s="77"/>
      <c r="K9" s="77"/>
    </row>
    <row r="10" customFormat="false" ht="18" hidden="false" customHeight="true" outlineLevel="0" collapsed="false">
      <c r="A10" s="73" t="s">
        <v>516</v>
      </c>
      <c r="B10" s="11" t="s">
        <v>80</v>
      </c>
      <c r="C10" s="12" t="s">
        <v>528</v>
      </c>
      <c r="D10" s="10" t="s">
        <v>519</v>
      </c>
      <c r="E10" s="15" t="n">
        <v>12</v>
      </c>
      <c r="F10" s="11" t="n">
        <v>11</v>
      </c>
      <c r="G10" s="11" t="n">
        <v>1</v>
      </c>
      <c r="H10" s="78" t="s">
        <v>529</v>
      </c>
      <c r="I10" s="79" t="s">
        <v>530</v>
      </c>
      <c r="J10" s="75"/>
      <c r="K10" s="75"/>
    </row>
    <row r="11" customFormat="false" ht="18" hidden="false" customHeight="true" outlineLevel="0" collapsed="false">
      <c r="A11" s="73" t="s">
        <v>516</v>
      </c>
      <c r="B11" s="18" t="s">
        <v>26</v>
      </c>
      <c r="C11" s="19" t="s">
        <v>531</v>
      </c>
      <c r="D11" s="17" t="s">
        <v>519</v>
      </c>
      <c r="E11" s="21" t="n">
        <v>19</v>
      </c>
      <c r="F11" s="18" t="n">
        <v>17</v>
      </c>
      <c r="G11" s="18" t="n">
        <v>2</v>
      </c>
      <c r="H11" s="80" t="s">
        <v>532</v>
      </c>
      <c r="I11" s="81" t="s">
        <v>533</v>
      </c>
      <c r="J11" s="77"/>
      <c r="K11" s="77"/>
    </row>
    <row r="12" customFormat="false" ht="18" hidden="false" customHeight="true" outlineLevel="0" collapsed="false">
      <c r="A12" s="73" t="s">
        <v>516</v>
      </c>
      <c r="B12" s="11" t="s">
        <v>111</v>
      </c>
      <c r="C12" s="12" t="s">
        <v>534</v>
      </c>
      <c r="D12" s="10" t="s">
        <v>519</v>
      </c>
      <c r="E12" s="15" t="n">
        <v>5</v>
      </c>
      <c r="F12" s="11" t="n">
        <v>1</v>
      </c>
      <c r="G12" s="11" t="n">
        <v>4</v>
      </c>
      <c r="H12" s="78" t="s">
        <v>535</v>
      </c>
      <c r="I12" s="79" t="s">
        <v>536</v>
      </c>
      <c r="J12" s="75"/>
      <c r="K12" s="75"/>
    </row>
    <row r="13" customFormat="false" ht="18" hidden="false" customHeight="true" outlineLevel="0" collapsed="false">
      <c r="A13" s="73" t="s">
        <v>516</v>
      </c>
      <c r="B13" s="18" t="s">
        <v>537</v>
      </c>
      <c r="C13" s="19" t="s">
        <v>538</v>
      </c>
      <c r="D13" s="17" t="s">
        <v>519</v>
      </c>
      <c r="E13" s="21" t="n">
        <v>21</v>
      </c>
      <c r="F13" s="18" t="n">
        <v>21</v>
      </c>
      <c r="G13" s="18" t="n">
        <v>0</v>
      </c>
      <c r="H13" s="76" t="s">
        <v>520</v>
      </c>
      <c r="I13" s="76" t="s">
        <v>521</v>
      </c>
      <c r="J13" s="77"/>
      <c r="K13" s="77"/>
    </row>
    <row r="14" customFormat="false" ht="18" hidden="false" customHeight="true" outlineLevel="0" collapsed="false">
      <c r="A14" s="73" t="s">
        <v>516</v>
      </c>
      <c r="B14" s="11" t="s">
        <v>539</v>
      </c>
      <c r="C14" s="12" t="s">
        <v>540</v>
      </c>
      <c r="D14" s="10" t="s">
        <v>519</v>
      </c>
      <c r="E14" s="15" t="n">
        <v>15</v>
      </c>
      <c r="F14" s="11" t="n">
        <v>15</v>
      </c>
      <c r="G14" s="11" t="n">
        <v>0</v>
      </c>
      <c r="H14" s="74" t="s">
        <v>520</v>
      </c>
      <c r="I14" s="74" t="s">
        <v>521</v>
      </c>
      <c r="J14" s="75"/>
      <c r="K14" s="75"/>
    </row>
    <row r="15" customFormat="false" ht="18" hidden="false" customHeight="true" outlineLevel="0" collapsed="false">
      <c r="A15" s="73" t="s">
        <v>516</v>
      </c>
      <c r="B15" s="18" t="s">
        <v>541</v>
      </c>
      <c r="C15" s="19" t="s">
        <v>542</v>
      </c>
      <c r="D15" s="17" t="s">
        <v>519</v>
      </c>
      <c r="E15" s="21" t="n">
        <v>14</v>
      </c>
      <c r="F15" s="18" t="n">
        <v>14</v>
      </c>
      <c r="G15" s="18" t="n">
        <v>0</v>
      </c>
      <c r="H15" s="76" t="s">
        <v>520</v>
      </c>
      <c r="I15" s="76" t="s">
        <v>521</v>
      </c>
      <c r="J15" s="77"/>
      <c r="K15" s="77"/>
    </row>
    <row r="16" customFormat="false" ht="18" hidden="false" customHeight="true" outlineLevel="0" collapsed="false">
      <c r="A16" s="73" t="s">
        <v>516</v>
      </c>
      <c r="B16" s="11" t="s">
        <v>28</v>
      </c>
      <c r="C16" s="12" t="s">
        <v>543</v>
      </c>
      <c r="D16" s="10" t="s">
        <v>519</v>
      </c>
      <c r="E16" s="15" t="n">
        <v>24</v>
      </c>
      <c r="F16" s="11" t="n">
        <v>24</v>
      </c>
      <c r="G16" s="11" t="n">
        <v>0</v>
      </c>
      <c r="H16" s="74" t="s">
        <v>520</v>
      </c>
      <c r="I16" s="74" t="s">
        <v>521</v>
      </c>
      <c r="J16" s="75"/>
      <c r="K16" s="75"/>
    </row>
    <row r="17" customFormat="false" ht="12.75" hidden="false" customHeight="true" outlineLevel="0" collapsed="false">
      <c r="A17" s="72" t="s">
        <v>544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</row>
    <row r="18" customFormat="false" ht="18" hidden="false" customHeight="true" outlineLevel="0" collapsed="false">
      <c r="A18" s="73" t="s">
        <v>516</v>
      </c>
      <c r="B18" s="11" t="s">
        <v>16</v>
      </c>
      <c r="C18" s="12" t="s">
        <v>545</v>
      </c>
      <c r="D18" s="10" t="s">
        <v>546</v>
      </c>
      <c r="E18" s="15" t="n">
        <v>15</v>
      </c>
      <c r="F18" s="11" t="n">
        <v>14</v>
      </c>
      <c r="G18" s="11" t="n">
        <v>1</v>
      </c>
      <c r="H18" s="78" t="s">
        <v>529</v>
      </c>
      <c r="I18" s="79" t="s">
        <v>530</v>
      </c>
      <c r="J18" s="75"/>
      <c r="K18" s="75"/>
    </row>
    <row r="19" customFormat="false" ht="18" hidden="false" customHeight="true" outlineLevel="0" collapsed="false">
      <c r="A19" s="73" t="s">
        <v>516</v>
      </c>
      <c r="B19" s="18" t="s">
        <v>267</v>
      </c>
      <c r="C19" s="19" t="s">
        <v>547</v>
      </c>
      <c r="D19" s="17" t="s">
        <v>546</v>
      </c>
      <c r="E19" s="21" t="n">
        <v>13</v>
      </c>
      <c r="F19" s="18" t="n">
        <v>12</v>
      </c>
      <c r="G19" s="18" t="n">
        <v>1</v>
      </c>
      <c r="H19" s="80" t="s">
        <v>529</v>
      </c>
      <c r="I19" s="81" t="s">
        <v>530</v>
      </c>
      <c r="J19" s="77"/>
      <c r="K19" s="77"/>
    </row>
    <row r="20" customFormat="false" ht="12.75" hidden="false" customHeight="true" outlineLevel="0" collapsed="false">
      <c r="A20" s="72" t="s">
        <v>548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</row>
    <row r="21" customFormat="false" ht="18" hidden="false" customHeight="true" outlineLevel="0" collapsed="false">
      <c r="A21" s="73" t="s">
        <v>516</v>
      </c>
      <c r="B21" s="18" t="s">
        <v>549</v>
      </c>
      <c r="C21" s="19" t="s">
        <v>550</v>
      </c>
      <c r="D21" s="17" t="s">
        <v>551</v>
      </c>
      <c r="E21" s="21" t="n">
        <v>11</v>
      </c>
      <c r="F21" s="18" t="n">
        <v>11</v>
      </c>
      <c r="G21" s="18" t="n">
        <v>0</v>
      </c>
      <c r="H21" s="76" t="s">
        <v>520</v>
      </c>
      <c r="I21" s="76" t="s">
        <v>521</v>
      </c>
      <c r="J21" s="77"/>
      <c r="K21" s="77"/>
    </row>
    <row r="22" customFormat="false" ht="18" hidden="false" customHeight="true" outlineLevel="0" collapsed="false">
      <c r="A22" s="73" t="s">
        <v>516</v>
      </c>
      <c r="B22" s="11" t="s">
        <v>231</v>
      </c>
      <c r="C22" s="12" t="s">
        <v>552</v>
      </c>
      <c r="D22" s="10" t="s">
        <v>551</v>
      </c>
      <c r="E22" s="15" t="n">
        <v>13</v>
      </c>
      <c r="F22" s="11" t="n">
        <v>12</v>
      </c>
      <c r="G22" s="11" t="n">
        <v>1</v>
      </c>
      <c r="H22" s="78" t="s">
        <v>529</v>
      </c>
      <c r="I22" s="79" t="s">
        <v>530</v>
      </c>
      <c r="J22" s="75"/>
      <c r="K22" s="75"/>
    </row>
    <row r="23" customFormat="false" ht="12.75" hidden="false" customHeight="true" outlineLevel="0" collapsed="false">
      <c r="A23" s="72" t="s">
        <v>553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</row>
    <row r="24" customFormat="false" ht="18" hidden="false" customHeight="true" outlineLevel="0" collapsed="false">
      <c r="A24" s="73" t="s">
        <v>516</v>
      </c>
      <c r="B24" s="11" t="s">
        <v>554</v>
      </c>
      <c r="C24" s="12" t="s">
        <v>555</v>
      </c>
      <c r="D24" s="10" t="s">
        <v>556</v>
      </c>
      <c r="E24" s="15" t="n">
        <v>8</v>
      </c>
      <c r="F24" s="11" t="n">
        <v>8</v>
      </c>
      <c r="G24" s="11" t="n">
        <v>0</v>
      </c>
      <c r="H24" s="74" t="s">
        <v>520</v>
      </c>
      <c r="I24" s="74" t="s">
        <v>521</v>
      </c>
      <c r="J24" s="75"/>
      <c r="K24" s="75"/>
    </row>
    <row r="25" customFormat="false" ht="18" hidden="false" customHeight="true" outlineLevel="0" collapsed="false">
      <c r="A25" s="73" t="s">
        <v>516</v>
      </c>
      <c r="B25" s="18" t="s">
        <v>557</v>
      </c>
      <c r="C25" s="19" t="s">
        <v>558</v>
      </c>
      <c r="D25" s="17" t="s">
        <v>556</v>
      </c>
      <c r="E25" s="21" t="n">
        <v>3</v>
      </c>
      <c r="F25" s="18" t="n">
        <v>3</v>
      </c>
      <c r="G25" s="18" t="n">
        <v>0</v>
      </c>
      <c r="H25" s="76" t="s">
        <v>520</v>
      </c>
      <c r="I25" s="76" t="s">
        <v>521</v>
      </c>
      <c r="J25" s="77"/>
      <c r="K25" s="77"/>
    </row>
    <row r="26" customFormat="false" ht="18" hidden="false" customHeight="true" outlineLevel="0" collapsed="false">
      <c r="A26" s="73" t="s">
        <v>516</v>
      </c>
      <c r="B26" s="11" t="s">
        <v>559</v>
      </c>
      <c r="C26" s="12" t="s">
        <v>560</v>
      </c>
      <c r="D26" s="10" t="s">
        <v>556</v>
      </c>
      <c r="E26" s="15" t="n">
        <v>6</v>
      </c>
      <c r="F26" s="11" t="n">
        <v>6</v>
      </c>
      <c r="G26" s="11" t="n">
        <v>0</v>
      </c>
      <c r="H26" s="74" t="s">
        <v>520</v>
      </c>
      <c r="I26" s="74" t="s">
        <v>521</v>
      </c>
      <c r="J26" s="75"/>
      <c r="K26" s="75"/>
    </row>
    <row r="27" customFormat="false" ht="18" hidden="false" customHeight="true" outlineLevel="0" collapsed="false">
      <c r="A27" s="73" t="s">
        <v>516</v>
      </c>
      <c r="B27" s="18" t="s">
        <v>274</v>
      </c>
      <c r="C27" s="19" t="s">
        <v>561</v>
      </c>
      <c r="D27" s="17" t="s">
        <v>556</v>
      </c>
      <c r="E27" s="21" t="n">
        <v>9</v>
      </c>
      <c r="F27" s="18" t="n">
        <v>8</v>
      </c>
      <c r="G27" s="18" t="n">
        <v>1</v>
      </c>
      <c r="H27" s="80" t="s">
        <v>529</v>
      </c>
      <c r="I27" s="81" t="s">
        <v>530</v>
      </c>
      <c r="J27" s="77"/>
      <c r="K27" s="77"/>
    </row>
    <row r="28" customFormat="false" ht="18" hidden="false" customHeight="true" outlineLevel="0" collapsed="false">
      <c r="A28" s="73" t="s">
        <v>516</v>
      </c>
      <c r="B28" s="11" t="s">
        <v>54</v>
      </c>
      <c r="C28" s="12" t="s">
        <v>562</v>
      </c>
      <c r="D28" s="10" t="s">
        <v>556</v>
      </c>
      <c r="E28" s="15" t="n">
        <v>27</v>
      </c>
      <c r="F28" s="11" t="n">
        <v>12</v>
      </c>
      <c r="G28" s="11" t="n">
        <v>15</v>
      </c>
      <c r="H28" s="78" t="s">
        <v>563</v>
      </c>
      <c r="I28" s="79" t="s">
        <v>564</v>
      </c>
      <c r="J28" s="75"/>
      <c r="K28" s="75"/>
    </row>
    <row r="29" customFormat="false" ht="18" hidden="false" customHeight="true" outlineLevel="0" collapsed="false">
      <c r="A29" s="73" t="s">
        <v>516</v>
      </c>
      <c r="B29" s="18" t="s">
        <v>261</v>
      </c>
      <c r="C29" s="19" t="s">
        <v>565</v>
      </c>
      <c r="D29" s="17" t="s">
        <v>556</v>
      </c>
      <c r="E29" s="21" t="n">
        <v>10</v>
      </c>
      <c r="F29" s="18" t="n">
        <v>9</v>
      </c>
      <c r="G29" s="18" t="n">
        <v>1</v>
      </c>
      <c r="H29" s="80" t="s">
        <v>529</v>
      </c>
      <c r="I29" s="81" t="s">
        <v>530</v>
      </c>
      <c r="J29" s="77"/>
      <c r="K29" s="77"/>
    </row>
    <row r="30" customFormat="false" ht="18" hidden="false" customHeight="true" outlineLevel="0" collapsed="false">
      <c r="A30" s="73" t="s">
        <v>516</v>
      </c>
      <c r="B30" s="11" t="s">
        <v>106</v>
      </c>
      <c r="C30" s="12" t="s">
        <v>566</v>
      </c>
      <c r="D30" s="10" t="s">
        <v>556</v>
      </c>
      <c r="E30" s="15" t="n">
        <v>7</v>
      </c>
      <c r="F30" s="11" t="n">
        <v>6</v>
      </c>
      <c r="G30" s="11" t="n">
        <v>1</v>
      </c>
      <c r="H30" s="78" t="s">
        <v>529</v>
      </c>
      <c r="I30" s="79" t="s">
        <v>530</v>
      </c>
      <c r="J30" s="75"/>
      <c r="K30" s="75"/>
    </row>
    <row r="31" customFormat="false" ht="18" hidden="false" customHeight="true" outlineLevel="0" collapsed="false">
      <c r="A31" s="73" t="s">
        <v>516</v>
      </c>
      <c r="B31" s="18" t="s">
        <v>567</v>
      </c>
      <c r="C31" s="19" t="s">
        <v>568</v>
      </c>
      <c r="D31" s="17" t="s">
        <v>556</v>
      </c>
      <c r="E31" s="21" t="n">
        <v>22</v>
      </c>
      <c r="F31" s="18" t="n">
        <v>22</v>
      </c>
      <c r="G31" s="18" t="n">
        <v>0</v>
      </c>
      <c r="H31" s="76" t="s">
        <v>520</v>
      </c>
      <c r="I31" s="76" t="s">
        <v>521</v>
      </c>
      <c r="J31" s="77"/>
      <c r="K31" s="77"/>
    </row>
    <row r="32" customFormat="false" ht="18" hidden="false" customHeight="true" outlineLevel="0" collapsed="false">
      <c r="A32" s="73" t="s">
        <v>516</v>
      </c>
      <c r="B32" s="11" t="s">
        <v>93</v>
      </c>
      <c r="C32" s="12" t="s">
        <v>569</v>
      </c>
      <c r="D32" s="10" t="s">
        <v>556</v>
      </c>
      <c r="E32" s="15" t="n">
        <v>20</v>
      </c>
      <c r="F32" s="11" t="n">
        <v>14</v>
      </c>
      <c r="G32" s="11" t="n">
        <v>6</v>
      </c>
      <c r="H32" s="78" t="s">
        <v>570</v>
      </c>
      <c r="I32" s="79" t="s">
        <v>571</v>
      </c>
      <c r="J32" s="75"/>
      <c r="K32" s="75"/>
    </row>
    <row r="33" customFormat="false" ht="12.75" hidden="false" customHeight="true" outlineLevel="0" collapsed="false">
      <c r="A33" s="72" t="s">
        <v>572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</row>
    <row r="34" customFormat="false" ht="18" hidden="false" customHeight="true" outlineLevel="0" collapsed="false">
      <c r="A34" s="73" t="s">
        <v>516</v>
      </c>
      <c r="B34" s="11" t="s">
        <v>76</v>
      </c>
      <c r="C34" s="12" t="s">
        <v>573</v>
      </c>
      <c r="D34" s="10" t="s">
        <v>574</v>
      </c>
      <c r="E34" s="15" t="n">
        <v>11</v>
      </c>
      <c r="F34" s="11" t="n">
        <v>9</v>
      </c>
      <c r="G34" s="11" t="n">
        <v>2</v>
      </c>
      <c r="H34" s="78" t="s">
        <v>532</v>
      </c>
      <c r="I34" s="79" t="s">
        <v>533</v>
      </c>
      <c r="J34" s="75"/>
      <c r="K34" s="75"/>
    </row>
    <row r="35" customFormat="false" ht="18" hidden="false" customHeight="true" outlineLevel="0" collapsed="false">
      <c r="A35" s="73" t="s">
        <v>516</v>
      </c>
      <c r="B35" s="18" t="s">
        <v>72</v>
      </c>
      <c r="C35" s="19" t="s">
        <v>575</v>
      </c>
      <c r="D35" s="17" t="s">
        <v>574</v>
      </c>
      <c r="E35" s="21" t="n">
        <v>11</v>
      </c>
      <c r="F35" s="18" t="n">
        <v>9</v>
      </c>
      <c r="G35" s="18" t="n">
        <v>2</v>
      </c>
      <c r="H35" s="80" t="s">
        <v>532</v>
      </c>
      <c r="I35" s="81" t="s">
        <v>533</v>
      </c>
      <c r="J35" s="77"/>
      <c r="K35" s="77"/>
    </row>
    <row r="36" customFormat="false" ht="12.75" hidden="false" customHeight="true" outlineLevel="0" collapsed="false">
      <c r="A36" s="72" t="s">
        <v>576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</row>
    <row r="37" customFormat="false" ht="18" hidden="false" customHeight="true" outlineLevel="0" collapsed="false">
      <c r="A37" s="73" t="s">
        <v>516</v>
      </c>
      <c r="B37" s="18" t="s">
        <v>182</v>
      </c>
      <c r="C37" s="19" t="s">
        <v>577</v>
      </c>
      <c r="D37" s="17" t="s">
        <v>578</v>
      </c>
      <c r="E37" s="21" t="n">
        <v>13</v>
      </c>
      <c r="F37" s="18" t="n">
        <v>12</v>
      </c>
      <c r="G37" s="18" t="n">
        <v>1</v>
      </c>
      <c r="H37" s="80" t="s">
        <v>529</v>
      </c>
      <c r="I37" s="81" t="s">
        <v>530</v>
      </c>
      <c r="J37" s="77"/>
      <c r="K37" s="77"/>
    </row>
    <row r="38" customFormat="false" ht="18" hidden="false" customHeight="true" outlineLevel="0" collapsed="false">
      <c r="A38" s="73" t="s">
        <v>516</v>
      </c>
      <c r="B38" s="11" t="s">
        <v>37</v>
      </c>
      <c r="C38" s="12" t="s">
        <v>579</v>
      </c>
      <c r="D38" s="10" t="s">
        <v>578</v>
      </c>
      <c r="E38" s="15" t="n">
        <v>14</v>
      </c>
      <c r="F38" s="11" t="n">
        <v>11</v>
      </c>
      <c r="G38" s="11" t="n">
        <v>3</v>
      </c>
      <c r="H38" s="78" t="s">
        <v>580</v>
      </c>
      <c r="I38" s="79" t="s">
        <v>581</v>
      </c>
      <c r="J38" s="75"/>
      <c r="K38" s="75"/>
    </row>
    <row r="39" customFormat="false" ht="18" hidden="false" customHeight="true" outlineLevel="0" collapsed="false">
      <c r="A39" s="73" t="s">
        <v>516</v>
      </c>
      <c r="B39" s="18" t="s">
        <v>582</v>
      </c>
      <c r="C39" s="19" t="s">
        <v>583</v>
      </c>
      <c r="D39" s="17" t="s">
        <v>578</v>
      </c>
      <c r="E39" s="21" t="n">
        <v>6</v>
      </c>
      <c r="F39" s="18" t="n">
        <v>6</v>
      </c>
      <c r="G39" s="18" t="n">
        <v>0</v>
      </c>
      <c r="H39" s="76" t="s">
        <v>520</v>
      </c>
      <c r="I39" s="76" t="s">
        <v>521</v>
      </c>
      <c r="J39" s="77"/>
      <c r="K39" s="77"/>
    </row>
    <row r="40" customFormat="false" ht="18" hidden="false" customHeight="true" outlineLevel="0" collapsed="false">
      <c r="A40" s="73" t="s">
        <v>516</v>
      </c>
      <c r="B40" s="11" t="s">
        <v>46</v>
      </c>
      <c r="C40" s="12" t="s">
        <v>584</v>
      </c>
      <c r="D40" s="10" t="s">
        <v>578</v>
      </c>
      <c r="E40" s="15" t="n">
        <v>9</v>
      </c>
      <c r="F40" s="11" t="n">
        <v>8</v>
      </c>
      <c r="G40" s="11" t="n">
        <v>1</v>
      </c>
      <c r="H40" s="78" t="s">
        <v>529</v>
      </c>
      <c r="I40" s="79" t="s">
        <v>530</v>
      </c>
      <c r="J40" s="75"/>
      <c r="K40" s="75"/>
    </row>
    <row r="41" customFormat="false" ht="12.75" hidden="false" customHeight="true" outlineLevel="0" collapsed="false">
      <c r="A41" s="72" t="s">
        <v>585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</row>
    <row r="42" customFormat="false" ht="18" hidden="false" customHeight="true" outlineLevel="0" collapsed="false">
      <c r="A42" s="73" t="s">
        <v>516</v>
      </c>
      <c r="B42" s="11" t="s">
        <v>586</v>
      </c>
      <c r="C42" s="12" t="s">
        <v>587</v>
      </c>
      <c r="D42" s="10" t="s">
        <v>588</v>
      </c>
      <c r="E42" s="15" t="n">
        <v>4</v>
      </c>
      <c r="F42" s="11" t="n">
        <v>4</v>
      </c>
      <c r="G42" s="11" t="n">
        <v>0</v>
      </c>
      <c r="H42" s="74" t="s">
        <v>520</v>
      </c>
      <c r="I42" s="74" t="s">
        <v>521</v>
      </c>
      <c r="J42" s="75"/>
      <c r="K42" s="75"/>
    </row>
    <row r="43" customFormat="false" ht="18" hidden="false" customHeight="true" outlineLevel="0" collapsed="false">
      <c r="A43" s="73" t="s">
        <v>516</v>
      </c>
      <c r="B43" s="18" t="s">
        <v>589</v>
      </c>
      <c r="C43" s="19" t="s">
        <v>590</v>
      </c>
      <c r="D43" s="17" t="s">
        <v>588</v>
      </c>
      <c r="E43" s="21" t="n">
        <v>9</v>
      </c>
      <c r="F43" s="18" t="n">
        <v>9</v>
      </c>
      <c r="G43" s="18" t="n">
        <v>0</v>
      </c>
      <c r="H43" s="76" t="s">
        <v>520</v>
      </c>
      <c r="I43" s="76" t="s">
        <v>521</v>
      </c>
      <c r="J43" s="77"/>
      <c r="K43" s="77"/>
    </row>
    <row r="44" customFormat="false" ht="18" hidden="false" customHeight="true" outlineLevel="0" collapsed="false">
      <c r="A44" s="73" t="s">
        <v>516</v>
      </c>
      <c r="B44" s="11" t="s">
        <v>591</v>
      </c>
      <c r="C44" s="12" t="s">
        <v>592</v>
      </c>
      <c r="D44" s="10" t="s">
        <v>588</v>
      </c>
      <c r="E44" s="15" t="n">
        <v>4</v>
      </c>
      <c r="F44" s="11" t="n">
        <v>4</v>
      </c>
      <c r="G44" s="11" t="n">
        <v>0</v>
      </c>
      <c r="H44" s="74" t="s">
        <v>520</v>
      </c>
      <c r="I44" s="74" t="s">
        <v>521</v>
      </c>
      <c r="J44" s="75"/>
      <c r="K44" s="75"/>
    </row>
    <row r="45" customFormat="false" ht="18" hidden="false" customHeight="true" outlineLevel="0" collapsed="false">
      <c r="A45" s="73" t="s">
        <v>516</v>
      </c>
      <c r="B45" s="18" t="s">
        <v>593</v>
      </c>
      <c r="C45" s="19" t="s">
        <v>594</v>
      </c>
      <c r="D45" s="17" t="s">
        <v>588</v>
      </c>
      <c r="E45" s="21" t="n">
        <v>1</v>
      </c>
      <c r="F45" s="18" t="n">
        <v>1</v>
      </c>
      <c r="G45" s="18" t="n">
        <v>0</v>
      </c>
      <c r="H45" s="76" t="s">
        <v>520</v>
      </c>
      <c r="I45" s="76" t="s">
        <v>521</v>
      </c>
      <c r="J45" s="77"/>
      <c r="K45" s="77"/>
    </row>
    <row r="46" customFormat="false" ht="18" hidden="false" customHeight="true" outlineLevel="0" collapsed="false">
      <c r="A46" s="73" t="s">
        <v>516</v>
      </c>
      <c r="B46" s="11" t="s">
        <v>595</v>
      </c>
      <c r="C46" s="12" t="s">
        <v>596</v>
      </c>
      <c r="D46" s="10" t="s">
        <v>588</v>
      </c>
      <c r="E46" s="15" t="n">
        <v>8</v>
      </c>
      <c r="F46" s="11" t="n">
        <v>8</v>
      </c>
      <c r="G46" s="11" t="n">
        <v>0</v>
      </c>
      <c r="H46" s="74" t="s">
        <v>520</v>
      </c>
      <c r="I46" s="74" t="s">
        <v>521</v>
      </c>
      <c r="J46" s="75"/>
      <c r="K46" s="75"/>
    </row>
    <row r="47" customFormat="false" ht="18" hidden="false" customHeight="true" outlineLevel="0" collapsed="false">
      <c r="A47" s="73" t="s">
        <v>516</v>
      </c>
      <c r="B47" s="18" t="s">
        <v>597</v>
      </c>
      <c r="C47" s="19" t="s">
        <v>598</v>
      </c>
      <c r="D47" s="17" t="s">
        <v>588</v>
      </c>
      <c r="E47" s="21" t="n">
        <v>3</v>
      </c>
      <c r="F47" s="18" t="n">
        <v>3</v>
      </c>
      <c r="G47" s="18" t="n">
        <v>0</v>
      </c>
      <c r="H47" s="76" t="s">
        <v>520</v>
      </c>
      <c r="I47" s="76" t="s">
        <v>521</v>
      </c>
      <c r="J47" s="77"/>
      <c r="K47" s="77"/>
    </row>
    <row r="48" customFormat="false" ht="18" hidden="false" customHeight="true" outlineLevel="0" collapsed="false">
      <c r="A48" s="73" t="s">
        <v>516</v>
      </c>
      <c r="B48" s="11" t="s">
        <v>599</v>
      </c>
      <c r="C48" s="12" t="s">
        <v>600</v>
      </c>
      <c r="D48" s="10" t="s">
        <v>588</v>
      </c>
      <c r="E48" s="15" t="n">
        <v>4</v>
      </c>
      <c r="F48" s="11" t="n">
        <v>4</v>
      </c>
      <c r="G48" s="11" t="n">
        <v>0</v>
      </c>
      <c r="H48" s="74" t="s">
        <v>520</v>
      </c>
      <c r="I48" s="74" t="s">
        <v>521</v>
      </c>
      <c r="J48" s="75"/>
      <c r="K48" s="75"/>
    </row>
    <row r="49" customFormat="false" ht="18" hidden="false" customHeight="true" outlineLevel="0" collapsed="false">
      <c r="A49" s="73" t="s">
        <v>516</v>
      </c>
      <c r="B49" s="18" t="s">
        <v>601</v>
      </c>
      <c r="C49" s="19" t="s">
        <v>602</v>
      </c>
      <c r="D49" s="17" t="s">
        <v>588</v>
      </c>
      <c r="E49" s="21" t="n">
        <v>1</v>
      </c>
      <c r="F49" s="18" t="n">
        <v>1</v>
      </c>
      <c r="G49" s="18" t="n">
        <v>0</v>
      </c>
      <c r="H49" s="76" t="s">
        <v>520</v>
      </c>
      <c r="I49" s="76" t="s">
        <v>521</v>
      </c>
      <c r="J49" s="77"/>
      <c r="K49" s="77"/>
    </row>
    <row r="50" customFormat="false" ht="18" hidden="false" customHeight="true" outlineLevel="0" collapsed="false">
      <c r="A50" s="73" t="s">
        <v>516</v>
      </c>
      <c r="B50" s="11" t="s">
        <v>603</v>
      </c>
      <c r="C50" s="12" t="s">
        <v>604</v>
      </c>
      <c r="D50" s="10" t="s">
        <v>588</v>
      </c>
      <c r="E50" s="15" t="n">
        <v>1</v>
      </c>
      <c r="F50" s="11" t="n">
        <v>1</v>
      </c>
      <c r="G50" s="11" t="n">
        <v>0</v>
      </c>
      <c r="H50" s="74" t="s">
        <v>520</v>
      </c>
      <c r="I50" s="74" t="s">
        <v>521</v>
      </c>
      <c r="J50" s="75"/>
      <c r="K50" s="75"/>
    </row>
    <row r="51" customFormat="false" ht="18" hidden="false" customHeight="true" outlineLevel="0" collapsed="false">
      <c r="A51" s="73" t="s">
        <v>516</v>
      </c>
      <c r="B51" s="18" t="s">
        <v>605</v>
      </c>
      <c r="C51" s="19" t="s">
        <v>606</v>
      </c>
      <c r="D51" s="17" t="s">
        <v>588</v>
      </c>
      <c r="E51" s="21" t="n">
        <v>3</v>
      </c>
      <c r="F51" s="18" t="n">
        <v>3</v>
      </c>
      <c r="G51" s="18" t="n">
        <v>0</v>
      </c>
      <c r="H51" s="76" t="s">
        <v>520</v>
      </c>
      <c r="I51" s="76" t="s">
        <v>521</v>
      </c>
      <c r="J51" s="77"/>
      <c r="K51" s="77"/>
    </row>
    <row r="52" customFormat="false" ht="18" hidden="false" customHeight="true" outlineLevel="0" collapsed="false">
      <c r="A52" s="73" t="s">
        <v>516</v>
      </c>
      <c r="B52" s="11" t="s">
        <v>399</v>
      </c>
      <c r="C52" s="12" t="s">
        <v>607</v>
      </c>
      <c r="D52" s="10" t="s">
        <v>588</v>
      </c>
      <c r="E52" s="15" t="n">
        <v>5</v>
      </c>
      <c r="F52" s="11" t="n">
        <v>5</v>
      </c>
      <c r="G52" s="11" t="n">
        <v>0</v>
      </c>
      <c r="H52" s="74" t="s">
        <v>520</v>
      </c>
      <c r="I52" s="74" t="s">
        <v>521</v>
      </c>
      <c r="J52" s="75"/>
      <c r="K52" s="75"/>
    </row>
    <row r="53" customFormat="false" ht="18" hidden="false" customHeight="true" outlineLevel="0" collapsed="false">
      <c r="A53" s="73" t="s">
        <v>516</v>
      </c>
      <c r="B53" s="18" t="s">
        <v>608</v>
      </c>
      <c r="C53" s="19" t="s">
        <v>609</v>
      </c>
      <c r="D53" s="17" t="s">
        <v>588</v>
      </c>
      <c r="E53" s="21" t="n">
        <v>6</v>
      </c>
      <c r="F53" s="18" t="n">
        <v>6</v>
      </c>
      <c r="G53" s="18" t="n">
        <v>0</v>
      </c>
      <c r="H53" s="76" t="s">
        <v>520</v>
      </c>
      <c r="I53" s="76" t="s">
        <v>521</v>
      </c>
      <c r="J53" s="77"/>
      <c r="K53" s="77"/>
    </row>
    <row r="54" customFormat="false" ht="12.75" hidden="false" customHeight="true" outlineLevel="0" collapsed="false">
      <c r="A54" s="72" t="s">
        <v>610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8" hidden="false" customHeight="true" outlineLevel="0" collapsed="false">
      <c r="A55" s="73" t="s">
        <v>516</v>
      </c>
      <c r="B55" s="18" t="s">
        <v>251</v>
      </c>
      <c r="C55" s="19" t="s">
        <v>611</v>
      </c>
      <c r="D55" s="17" t="s">
        <v>612</v>
      </c>
      <c r="E55" s="21" t="n">
        <v>9</v>
      </c>
      <c r="F55" s="18" t="n">
        <v>7</v>
      </c>
      <c r="G55" s="18" t="n">
        <v>2</v>
      </c>
      <c r="H55" s="80" t="s">
        <v>532</v>
      </c>
      <c r="I55" s="81" t="s">
        <v>533</v>
      </c>
      <c r="J55" s="77"/>
      <c r="K55" s="77"/>
    </row>
    <row r="56" customFormat="false" ht="18" hidden="false" customHeight="true" outlineLevel="0" collapsed="false">
      <c r="A56" s="73" t="s">
        <v>516</v>
      </c>
      <c r="B56" s="11" t="s">
        <v>153</v>
      </c>
      <c r="C56" s="12" t="s">
        <v>613</v>
      </c>
      <c r="D56" s="10" t="s">
        <v>612</v>
      </c>
      <c r="E56" s="15" t="n">
        <v>10</v>
      </c>
      <c r="F56" s="11" t="n">
        <v>9</v>
      </c>
      <c r="G56" s="11" t="n">
        <v>1</v>
      </c>
      <c r="H56" s="78" t="s">
        <v>529</v>
      </c>
      <c r="I56" s="79" t="s">
        <v>530</v>
      </c>
      <c r="J56" s="75"/>
      <c r="K56" s="75"/>
    </row>
    <row r="57" customFormat="false" ht="18" hidden="false" customHeight="true" outlineLevel="0" collapsed="false">
      <c r="A57" s="73" t="s">
        <v>516</v>
      </c>
      <c r="B57" s="18" t="s">
        <v>614</v>
      </c>
      <c r="C57" s="19" t="s">
        <v>615</v>
      </c>
      <c r="D57" s="17" t="s">
        <v>612</v>
      </c>
      <c r="E57" s="21" t="n">
        <v>10</v>
      </c>
      <c r="F57" s="18" t="n">
        <v>10</v>
      </c>
      <c r="G57" s="18" t="n">
        <v>0</v>
      </c>
      <c r="H57" s="76" t="s">
        <v>520</v>
      </c>
      <c r="I57" s="76" t="s">
        <v>521</v>
      </c>
      <c r="J57" s="77"/>
      <c r="K57" s="77"/>
    </row>
    <row r="58" customFormat="false" ht="18" hidden="false" customHeight="true" outlineLevel="0" collapsed="false">
      <c r="A58" s="73" t="s">
        <v>516</v>
      </c>
      <c r="B58" s="11" t="s">
        <v>616</v>
      </c>
      <c r="C58" s="12" t="s">
        <v>617</v>
      </c>
      <c r="D58" s="10" t="s">
        <v>612</v>
      </c>
      <c r="E58" s="15" t="n">
        <v>9</v>
      </c>
      <c r="F58" s="11" t="n">
        <v>9</v>
      </c>
      <c r="G58" s="11" t="n">
        <v>0</v>
      </c>
      <c r="H58" s="74" t="s">
        <v>520</v>
      </c>
      <c r="I58" s="74" t="s">
        <v>521</v>
      </c>
      <c r="J58" s="75"/>
      <c r="K58" s="75"/>
    </row>
    <row r="59" customFormat="false" ht="18" hidden="false" customHeight="true" outlineLevel="0" collapsed="false">
      <c r="A59" s="73" t="s">
        <v>516</v>
      </c>
      <c r="B59" s="18" t="s">
        <v>618</v>
      </c>
      <c r="C59" s="19" t="s">
        <v>619</v>
      </c>
      <c r="D59" s="17" t="s">
        <v>612</v>
      </c>
      <c r="E59" s="21" t="n">
        <v>8</v>
      </c>
      <c r="F59" s="18" t="n">
        <v>8</v>
      </c>
      <c r="G59" s="18" t="n">
        <v>0</v>
      </c>
      <c r="H59" s="76" t="s">
        <v>520</v>
      </c>
      <c r="I59" s="76" t="s">
        <v>521</v>
      </c>
      <c r="J59" s="77"/>
      <c r="K59" s="77"/>
    </row>
    <row r="60" customFormat="false" ht="18" hidden="false" customHeight="true" outlineLevel="0" collapsed="false">
      <c r="A60" s="73" t="s">
        <v>516</v>
      </c>
      <c r="B60" s="11" t="s">
        <v>62</v>
      </c>
      <c r="C60" s="12" t="s">
        <v>620</v>
      </c>
      <c r="D60" s="10" t="s">
        <v>612</v>
      </c>
      <c r="E60" s="15" t="n">
        <v>20</v>
      </c>
      <c r="F60" s="11" t="n">
        <v>18</v>
      </c>
      <c r="G60" s="11" t="n">
        <v>2</v>
      </c>
      <c r="H60" s="78" t="s">
        <v>532</v>
      </c>
      <c r="I60" s="79" t="s">
        <v>533</v>
      </c>
      <c r="J60" s="75"/>
      <c r="K60" s="75"/>
    </row>
    <row r="61" customFormat="false" ht="18" hidden="false" customHeight="true" outlineLevel="0" collapsed="false">
      <c r="A61" s="73" t="s">
        <v>516</v>
      </c>
      <c r="B61" s="18" t="s">
        <v>621</v>
      </c>
      <c r="C61" s="19" t="s">
        <v>622</v>
      </c>
      <c r="D61" s="17" t="s">
        <v>612</v>
      </c>
      <c r="E61" s="21" t="n">
        <v>19</v>
      </c>
      <c r="F61" s="18" t="n">
        <v>19</v>
      </c>
      <c r="G61" s="18" t="n">
        <v>0</v>
      </c>
      <c r="H61" s="76" t="s">
        <v>520</v>
      </c>
      <c r="I61" s="76" t="s">
        <v>521</v>
      </c>
      <c r="J61" s="77"/>
      <c r="K61" s="77"/>
    </row>
    <row r="62" customFormat="false" ht="18" hidden="false" customHeight="true" outlineLevel="0" collapsed="false">
      <c r="A62" s="73" t="s">
        <v>516</v>
      </c>
      <c r="B62" s="11" t="s">
        <v>623</v>
      </c>
      <c r="C62" s="12" t="s">
        <v>624</v>
      </c>
      <c r="D62" s="10" t="s">
        <v>612</v>
      </c>
      <c r="E62" s="15" t="n">
        <v>16</v>
      </c>
      <c r="F62" s="11" t="n">
        <v>16</v>
      </c>
      <c r="G62" s="11" t="n">
        <v>0</v>
      </c>
      <c r="H62" s="74" t="s">
        <v>520</v>
      </c>
      <c r="I62" s="74" t="s">
        <v>521</v>
      </c>
      <c r="J62" s="75"/>
      <c r="K62" s="75"/>
    </row>
    <row r="63" customFormat="false" ht="12.75" hidden="false" customHeight="true" outlineLevel="0" collapsed="false">
      <c r="A63" s="72" t="s">
        <v>625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</row>
    <row r="64" customFormat="false" ht="18" hidden="false" customHeight="true" outlineLevel="0" collapsed="false">
      <c r="A64" s="73" t="s">
        <v>516</v>
      </c>
      <c r="B64" s="11" t="s">
        <v>626</v>
      </c>
      <c r="C64" s="12" t="s">
        <v>627</v>
      </c>
      <c r="D64" s="10" t="s">
        <v>628</v>
      </c>
      <c r="E64" s="15" t="n">
        <v>7</v>
      </c>
      <c r="F64" s="11" t="n">
        <v>7</v>
      </c>
      <c r="G64" s="11" t="n">
        <v>0</v>
      </c>
      <c r="H64" s="74" t="s">
        <v>520</v>
      </c>
      <c r="I64" s="74" t="s">
        <v>521</v>
      </c>
      <c r="J64" s="75"/>
      <c r="K64" s="75"/>
    </row>
    <row r="65" customFormat="false" ht="18" hidden="false" customHeight="true" outlineLevel="0" collapsed="false">
      <c r="A65" s="73" t="s">
        <v>516</v>
      </c>
      <c r="B65" s="18" t="s">
        <v>629</v>
      </c>
      <c r="C65" s="19" t="s">
        <v>630</v>
      </c>
      <c r="D65" s="17" t="s">
        <v>628</v>
      </c>
      <c r="E65" s="21" t="n">
        <v>6</v>
      </c>
      <c r="F65" s="18" t="n">
        <v>6</v>
      </c>
      <c r="G65" s="18" t="n">
        <v>0</v>
      </c>
      <c r="H65" s="76" t="s">
        <v>520</v>
      </c>
      <c r="I65" s="76" t="s">
        <v>521</v>
      </c>
      <c r="J65" s="77"/>
      <c r="K65" s="77"/>
    </row>
    <row r="66" customFormat="false" ht="12.75" hidden="false" customHeight="true" outlineLevel="0" collapsed="false">
      <c r="A66" s="72" t="s">
        <v>631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</row>
    <row r="67" customFormat="false" ht="18" hidden="false" customHeight="true" outlineLevel="0" collapsed="false">
      <c r="A67" s="73" t="s">
        <v>516</v>
      </c>
      <c r="B67" s="18" t="s">
        <v>115</v>
      </c>
      <c r="C67" s="19" t="s">
        <v>632</v>
      </c>
      <c r="D67" s="17" t="s">
        <v>633</v>
      </c>
      <c r="E67" s="21" t="n">
        <v>12</v>
      </c>
      <c r="F67" s="18" t="n">
        <v>10</v>
      </c>
      <c r="G67" s="18" t="n">
        <v>2</v>
      </c>
      <c r="H67" s="80" t="s">
        <v>532</v>
      </c>
      <c r="I67" s="81" t="s">
        <v>533</v>
      </c>
      <c r="J67" s="77"/>
      <c r="K67" s="77"/>
    </row>
    <row r="68" customFormat="false" ht="18" hidden="false" customHeight="true" outlineLevel="0" collapsed="false">
      <c r="A68" s="73" t="s">
        <v>516</v>
      </c>
      <c r="B68" s="11" t="s">
        <v>229</v>
      </c>
      <c r="C68" s="12" t="s">
        <v>634</v>
      </c>
      <c r="D68" s="10" t="s">
        <v>633</v>
      </c>
      <c r="E68" s="15" t="n">
        <v>13</v>
      </c>
      <c r="F68" s="11" t="n">
        <v>12</v>
      </c>
      <c r="G68" s="11" t="n">
        <v>1</v>
      </c>
      <c r="H68" s="78" t="s">
        <v>529</v>
      </c>
      <c r="I68" s="79" t="s">
        <v>530</v>
      </c>
      <c r="J68" s="75"/>
      <c r="K68" s="75"/>
    </row>
    <row r="69" customFormat="false" ht="18" hidden="false" customHeight="true" outlineLevel="0" collapsed="false">
      <c r="A69" s="73" t="s">
        <v>516</v>
      </c>
      <c r="B69" s="18" t="s">
        <v>48</v>
      </c>
      <c r="C69" s="19" t="s">
        <v>635</v>
      </c>
      <c r="D69" s="17" t="s">
        <v>633</v>
      </c>
      <c r="E69" s="21" t="n">
        <v>9</v>
      </c>
      <c r="F69" s="18" t="n">
        <v>6</v>
      </c>
      <c r="G69" s="18" t="n">
        <v>3</v>
      </c>
      <c r="H69" s="80" t="s">
        <v>580</v>
      </c>
      <c r="I69" s="81" t="s">
        <v>581</v>
      </c>
      <c r="J69" s="77"/>
      <c r="K69" s="77"/>
    </row>
    <row r="70" customFormat="false" ht="18" hidden="false" customHeight="true" outlineLevel="0" collapsed="false">
      <c r="A70" s="73" t="s">
        <v>516</v>
      </c>
      <c r="B70" s="11" t="s">
        <v>44</v>
      </c>
      <c r="C70" s="12" t="s">
        <v>636</v>
      </c>
      <c r="D70" s="10" t="s">
        <v>633</v>
      </c>
      <c r="E70" s="15" t="n">
        <v>15</v>
      </c>
      <c r="F70" s="11" t="n">
        <v>11</v>
      </c>
      <c r="G70" s="11" t="n">
        <v>4</v>
      </c>
      <c r="H70" s="78" t="s">
        <v>535</v>
      </c>
      <c r="I70" s="79" t="s">
        <v>536</v>
      </c>
      <c r="J70" s="75"/>
      <c r="K70" s="75"/>
    </row>
    <row r="71" customFormat="false" ht="18" hidden="false" customHeight="true" outlineLevel="0" collapsed="false">
      <c r="A71" s="73" t="s">
        <v>516</v>
      </c>
      <c r="B71" s="18" t="s">
        <v>127</v>
      </c>
      <c r="C71" s="19" t="s">
        <v>637</v>
      </c>
      <c r="D71" s="17" t="s">
        <v>633</v>
      </c>
      <c r="E71" s="21" t="n">
        <v>18</v>
      </c>
      <c r="F71" s="18" t="n">
        <v>17</v>
      </c>
      <c r="G71" s="18" t="n">
        <v>1</v>
      </c>
      <c r="H71" s="80" t="s">
        <v>529</v>
      </c>
      <c r="I71" s="81" t="s">
        <v>530</v>
      </c>
      <c r="J71" s="77"/>
      <c r="K71" s="77"/>
    </row>
  </sheetData>
  <mergeCells count="12">
    <mergeCell ref="A1:K1"/>
    <mergeCell ref="A2:K2"/>
    <mergeCell ref="A5:K5"/>
    <mergeCell ref="A17:K17"/>
    <mergeCell ref="A20:K20"/>
    <mergeCell ref="A23:K23"/>
    <mergeCell ref="A33:K33"/>
    <mergeCell ref="A36:K36"/>
    <mergeCell ref="A41:K41"/>
    <mergeCell ref="A54:K54"/>
    <mergeCell ref="A63:K63"/>
    <mergeCell ref="A66:K66"/>
  </mergeCells>
  <conditionalFormatting sqref="A5:A72">
    <cfRule type="expression" priority="2" aboveAverage="0" equalAverage="0" bottom="0" percent="0" rank="0" text="" dxfId="0">
      <formula>$A5="ACTIVE"</formula>
    </cfRule>
    <cfRule type="expression" priority="3" aboveAverage="0" equalAverage="0" bottom="0" percent="0" rank="0" text="" dxfId="1">
      <formula>$A5="INACTIVE"</formula>
    </cfRule>
  </conditionalFormatting>
  <dataValidations count="1">
    <dataValidation allowBlank="false" errorStyle="stop" operator="between" showDropDown="false" showErrorMessage="false" showInputMessage="false" sqref="A6:A16 A18:A19 A21:A22 A24:A32 A34:A35 A37:A40 A42:A53 A55:A62 A64:A65 A67:A71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7A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9" activeCellId="0" sqref="A9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5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6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27.75" hidden="false" customHeight="true" outlineLevel="0" collapsed="false">
      <c r="A1" s="61" t="s">
        <v>638</v>
      </c>
      <c r="B1" s="61"/>
      <c r="C1" s="61"/>
      <c r="D1" s="61"/>
      <c r="E1" s="61"/>
      <c r="F1" s="61"/>
      <c r="G1" s="61"/>
      <c r="H1" s="61"/>
    </row>
    <row r="2" customFormat="false" ht="15" hidden="false" customHeight="true" outlineLevel="0" collapsed="false">
      <c r="A2" s="3" t="s">
        <v>639</v>
      </c>
      <c r="B2" s="3"/>
      <c r="C2" s="3"/>
      <c r="D2" s="3"/>
      <c r="E2" s="3"/>
      <c r="F2" s="3"/>
      <c r="G2" s="3"/>
      <c r="H2" s="3"/>
    </row>
    <row r="3" customFormat="false" ht="3.75" hidden="false" customHeight="true" outlineLevel="0" collapsed="false"/>
    <row r="4" customFormat="false" ht="27.75" hidden="false" customHeight="true" outlineLevel="0" collapsed="false">
      <c r="A4" s="62" t="s">
        <v>504</v>
      </c>
      <c r="B4" s="62" t="s">
        <v>3</v>
      </c>
      <c r="C4" s="62" t="s">
        <v>4</v>
      </c>
      <c r="D4" s="62" t="s">
        <v>288</v>
      </c>
      <c r="E4" s="62" t="s">
        <v>5</v>
      </c>
      <c r="F4" s="62" t="s">
        <v>513</v>
      </c>
      <c r="G4" s="62" t="s">
        <v>514</v>
      </c>
      <c r="H4" s="62"/>
    </row>
    <row r="5" customFormat="false" ht="12.75" hidden="false" customHeight="true" outlineLevel="0" collapsed="false">
      <c r="A5" s="72" t="s">
        <v>640</v>
      </c>
      <c r="B5" s="72"/>
      <c r="C5" s="72"/>
      <c r="D5" s="72"/>
      <c r="E5" s="72"/>
      <c r="F5" s="72"/>
      <c r="G5" s="72"/>
      <c r="H5" s="72"/>
    </row>
    <row r="6" customFormat="false" ht="15.75" hidden="false" customHeight="true" outlineLevel="0" collapsed="false">
      <c r="A6" s="73" t="s">
        <v>516</v>
      </c>
      <c r="B6" s="11" t="s">
        <v>291</v>
      </c>
      <c r="C6" s="12" t="s">
        <v>292</v>
      </c>
      <c r="D6" s="10" t="s">
        <v>290</v>
      </c>
      <c r="E6" s="13" t="s">
        <v>293</v>
      </c>
      <c r="F6" s="82"/>
      <c r="G6" s="82"/>
      <c r="H6" s="82"/>
    </row>
    <row r="7" customFormat="false" ht="15.75" hidden="false" customHeight="true" outlineLevel="0" collapsed="false">
      <c r="A7" s="73" t="s">
        <v>516</v>
      </c>
      <c r="B7" s="18" t="s">
        <v>294</v>
      </c>
      <c r="C7" s="19" t="s">
        <v>295</v>
      </c>
      <c r="D7" s="17" t="s">
        <v>290</v>
      </c>
      <c r="E7" s="20" t="s">
        <v>293</v>
      </c>
      <c r="F7" s="83"/>
      <c r="G7" s="83"/>
      <c r="H7" s="83"/>
    </row>
    <row r="8" customFormat="false" ht="15.75" hidden="false" customHeight="true" outlineLevel="0" collapsed="false">
      <c r="A8" s="73" t="s">
        <v>516</v>
      </c>
      <c r="B8" s="11" t="s">
        <v>296</v>
      </c>
      <c r="C8" s="12" t="s">
        <v>297</v>
      </c>
      <c r="D8" s="10" t="s">
        <v>290</v>
      </c>
      <c r="E8" s="13" t="s">
        <v>293</v>
      </c>
      <c r="F8" s="82"/>
      <c r="G8" s="82"/>
      <c r="H8" s="82"/>
    </row>
    <row r="9" customFormat="false" ht="15.75" hidden="false" customHeight="true" outlineLevel="0" collapsed="false">
      <c r="A9" s="73" t="s">
        <v>516</v>
      </c>
      <c r="B9" s="18" t="s">
        <v>298</v>
      </c>
      <c r="C9" s="19" t="s">
        <v>299</v>
      </c>
      <c r="D9" s="17" t="s">
        <v>290</v>
      </c>
      <c r="E9" s="20" t="s">
        <v>293</v>
      </c>
      <c r="F9" s="83"/>
      <c r="G9" s="83"/>
      <c r="H9" s="83"/>
    </row>
    <row r="10" customFormat="false" ht="12.75" hidden="false" customHeight="true" outlineLevel="0" collapsed="false">
      <c r="A10" s="72" t="s">
        <v>641</v>
      </c>
      <c r="B10" s="72"/>
      <c r="C10" s="72"/>
      <c r="D10" s="72"/>
      <c r="E10" s="72"/>
      <c r="F10" s="72"/>
      <c r="G10" s="72"/>
      <c r="H10" s="72"/>
    </row>
    <row r="11" customFormat="false" ht="15.75" hidden="false" customHeight="true" outlineLevel="0" collapsed="false">
      <c r="A11" s="73" t="s">
        <v>516</v>
      </c>
      <c r="B11" s="18" t="s">
        <v>302</v>
      </c>
      <c r="C11" s="19" t="s">
        <v>303</v>
      </c>
      <c r="D11" s="17" t="s">
        <v>301</v>
      </c>
      <c r="E11" s="20" t="s">
        <v>293</v>
      </c>
      <c r="F11" s="83"/>
      <c r="G11" s="83"/>
      <c r="H11" s="83"/>
    </row>
    <row r="12" customFormat="false" ht="15.75" hidden="false" customHeight="true" outlineLevel="0" collapsed="false">
      <c r="A12" s="73" t="s">
        <v>516</v>
      </c>
      <c r="B12" s="11" t="s">
        <v>304</v>
      </c>
      <c r="C12" s="12" t="s">
        <v>305</v>
      </c>
      <c r="D12" s="10" t="s">
        <v>301</v>
      </c>
      <c r="E12" s="13" t="s">
        <v>293</v>
      </c>
      <c r="F12" s="82"/>
      <c r="G12" s="82"/>
      <c r="H12" s="82"/>
    </row>
    <row r="13" customFormat="false" ht="15.75" hidden="false" customHeight="true" outlineLevel="0" collapsed="false">
      <c r="A13" s="73" t="s">
        <v>516</v>
      </c>
      <c r="B13" s="18" t="s">
        <v>306</v>
      </c>
      <c r="C13" s="19" t="s">
        <v>307</v>
      </c>
      <c r="D13" s="17" t="s">
        <v>301</v>
      </c>
      <c r="E13" s="20" t="s">
        <v>293</v>
      </c>
      <c r="F13" s="83"/>
      <c r="G13" s="83"/>
      <c r="H13" s="83"/>
    </row>
    <row r="14" customFormat="false" ht="15.75" hidden="false" customHeight="true" outlineLevel="0" collapsed="false">
      <c r="A14" s="73" t="s">
        <v>516</v>
      </c>
      <c r="B14" s="11" t="s">
        <v>308</v>
      </c>
      <c r="C14" s="12" t="s">
        <v>309</v>
      </c>
      <c r="D14" s="10" t="s">
        <v>301</v>
      </c>
      <c r="E14" s="13" t="s">
        <v>293</v>
      </c>
      <c r="F14" s="82"/>
      <c r="G14" s="82"/>
      <c r="H14" s="82"/>
    </row>
    <row r="15" customFormat="false" ht="15.75" hidden="false" customHeight="true" outlineLevel="0" collapsed="false">
      <c r="A15" s="73" t="s">
        <v>516</v>
      </c>
      <c r="B15" s="18" t="s">
        <v>310</v>
      </c>
      <c r="C15" s="19" t="s">
        <v>311</v>
      </c>
      <c r="D15" s="17" t="s">
        <v>301</v>
      </c>
      <c r="E15" s="20" t="s">
        <v>293</v>
      </c>
      <c r="F15" s="83"/>
      <c r="G15" s="83"/>
      <c r="H15" s="83"/>
    </row>
    <row r="16" customFormat="false" ht="15.75" hidden="false" customHeight="true" outlineLevel="0" collapsed="false">
      <c r="A16" s="73" t="s">
        <v>516</v>
      </c>
      <c r="B16" s="11" t="s">
        <v>312</v>
      </c>
      <c r="C16" s="12" t="s">
        <v>313</v>
      </c>
      <c r="D16" s="10" t="s">
        <v>301</v>
      </c>
      <c r="E16" s="13" t="s">
        <v>293</v>
      </c>
      <c r="F16" s="82"/>
      <c r="G16" s="82"/>
      <c r="H16" s="82"/>
    </row>
    <row r="17" customFormat="false" ht="15.75" hidden="false" customHeight="true" outlineLevel="0" collapsed="false">
      <c r="A17" s="73" t="s">
        <v>516</v>
      </c>
      <c r="B17" s="18" t="s">
        <v>314</v>
      </c>
      <c r="C17" s="19" t="s">
        <v>315</v>
      </c>
      <c r="D17" s="17" t="s">
        <v>301</v>
      </c>
      <c r="E17" s="20" t="s">
        <v>293</v>
      </c>
      <c r="F17" s="83"/>
      <c r="G17" s="83"/>
      <c r="H17" s="83"/>
    </row>
    <row r="18" customFormat="false" ht="15.75" hidden="false" customHeight="true" outlineLevel="0" collapsed="false">
      <c r="A18" s="73" t="s">
        <v>516</v>
      </c>
      <c r="B18" s="11" t="s">
        <v>316</v>
      </c>
      <c r="C18" s="12" t="s">
        <v>317</v>
      </c>
      <c r="D18" s="10" t="s">
        <v>301</v>
      </c>
      <c r="E18" s="13" t="s">
        <v>293</v>
      </c>
      <c r="F18" s="82"/>
      <c r="G18" s="82"/>
      <c r="H18" s="82"/>
    </row>
    <row r="19" customFormat="false" ht="15.75" hidden="false" customHeight="true" outlineLevel="0" collapsed="false">
      <c r="A19" s="73" t="s">
        <v>516</v>
      </c>
      <c r="B19" s="18" t="s">
        <v>318</v>
      </c>
      <c r="C19" s="19" t="s">
        <v>319</v>
      </c>
      <c r="D19" s="17" t="s">
        <v>301</v>
      </c>
      <c r="E19" s="20" t="s">
        <v>293</v>
      </c>
      <c r="F19" s="83"/>
      <c r="G19" s="83"/>
      <c r="H19" s="83"/>
    </row>
    <row r="20" customFormat="false" ht="15.75" hidden="false" customHeight="true" outlineLevel="0" collapsed="false">
      <c r="A20" s="73" t="s">
        <v>516</v>
      </c>
      <c r="B20" s="11" t="s">
        <v>320</v>
      </c>
      <c r="C20" s="12" t="s">
        <v>321</v>
      </c>
      <c r="D20" s="10" t="s">
        <v>301</v>
      </c>
      <c r="E20" s="13" t="s">
        <v>293</v>
      </c>
      <c r="F20" s="82"/>
      <c r="G20" s="82"/>
      <c r="H20" s="82"/>
    </row>
    <row r="21" customFormat="false" ht="15.75" hidden="false" customHeight="true" outlineLevel="0" collapsed="false">
      <c r="A21" s="73" t="s">
        <v>516</v>
      </c>
      <c r="B21" s="18" t="s">
        <v>322</v>
      </c>
      <c r="C21" s="19" t="s">
        <v>323</v>
      </c>
      <c r="D21" s="17" t="s">
        <v>301</v>
      </c>
      <c r="E21" s="20" t="s">
        <v>293</v>
      </c>
      <c r="F21" s="83"/>
      <c r="G21" s="83"/>
      <c r="H21" s="83"/>
    </row>
    <row r="22" customFormat="false" ht="15.75" hidden="false" customHeight="true" outlineLevel="0" collapsed="false">
      <c r="A22" s="73" t="s">
        <v>516</v>
      </c>
      <c r="B22" s="11" t="s">
        <v>324</v>
      </c>
      <c r="C22" s="12" t="s">
        <v>325</v>
      </c>
      <c r="D22" s="10" t="s">
        <v>301</v>
      </c>
      <c r="E22" s="13" t="s">
        <v>293</v>
      </c>
      <c r="F22" s="82"/>
      <c r="G22" s="82"/>
      <c r="H22" s="82"/>
    </row>
    <row r="23" customFormat="false" ht="15.75" hidden="false" customHeight="true" outlineLevel="0" collapsed="false">
      <c r="A23" s="73" t="s">
        <v>516</v>
      </c>
      <c r="B23" s="18" t="s">
        <v>326</v>
      </c>
      <c r="C23" s="19" t="s">
        <v>327</v>
      </c>
      <c r="D23" s="17" t="s">
        <v>301</v>
      </c>
      <c r="E23" s="20" t="s">
        <v>293</v>
      </c>
      <c r="F23" s="83"/>
      <c r="G23" s="83"/>
      <c r="H23" s="83"/>
    </row>
    <row r="24" customFormat="false" ht="15.75" hidden="false" customHeight="true" outlineLevel="0" collapsed="false">
      <c r="A24" s="73" t="s">
        <v>516</v>
      </c>
      <c r="B24" s="11" t="s">
        <v>328</v>
      </c>
      <c r="C24" s="12" t="s">
        <v>329</v>
      </c>
      <c r="D24" s="10" t="s">
        <v>301</v>
      </c>
      <c r="E24" s="13" t="s">
        <v>293</v>
      </c>
      <c r="F24" s="82"/>
      <c r="G24" s="82"/>
      <c r="H24" s="82"/>
    </row>
    <row r="25" customFormat="false" ht="15.75" hidden="false" customHeight="true" outlineLevel="0" collapsed="false">
      <c r="A25" s="73" t="s">
        <v>516</v>
      </c>
      <c r="B25" s="18" t="s">
        <v>330</v>
      </c>
      <c r="C25" s="19" t="s">
        <v>331</v>
      </c>
      <c r="D25" s="17" t="s">
        <v>301</v>
      </c>
      <c r="E25" s="20" t="s">
        <v>293</v>
      </c>
      <c r="F25" s="83"/>
      <c r="G25" s="83"/>
      <c r="H25" s="83"/>
    </row>
    <row r="26" customFormat="false" ht="15.75" hidden="false" customHeight="true" outlineLevel="0" collapsed="false">
      <c r="A26" s="73" t="s">
        <v>516</v>
      </c>
      <c r="B26" s="11" t="s">
        <v>332</v>
      </c>
      <c r="C26" s="12" t="s">
        <v>333</v>
      </c>
      <c r="D26" s="10" t="s">
        <v>301</v>
      </c>
      <c r="E26" s="13" t="s">
        <v>293</v>
      </c>
      <c r="F26" s="82"/>
      <c r="G26" s="82"/>
      <c r="H26" s="82"/>
    </row>
    <row r="27" customFormat="false" ht="15.75" hidden="false" customHeight="true" outlineLevel="0" collapsed="false">
      <c r="A27" s="73" t="s">
        <v>516</v>
      </c>
      <c r="B27" s="18" t="s">
        <v>334</v>
      </c>
      <c r="C27" s="19" t="s">
        <v>335</v>
      </c>
      <c r="D27" s="17" t="s">
        <v>301</v>
      </c>
      <c r="E27" s="20" t="s">
        <v>293</v>
      </c>
      <c r="F27" s="83"/>
      <c r="G27" s="83"/>
      <c r="H27" s="83"/>
    </row>
    <row r="28" customFormat="false" ht="15.75" hidden="false" customHeight="true" outlineLevel="0" collapsed="false">
      <c r="A28" s="73" t="s">
        <v>516</v>
      </c>
      <c r="B28" s="11" t="s">
        <v>336</v>
      </c>
      <c r="C28" s="12" t="s">
        <v>337</v>
      </c>
      <c r="D28" s="10" t="s">
        <v>301</v>
      </c>
      <c r="E28" s="13" t="s">
        <v>293</v>
      </c>
      <c r="F28" s="82"/>
      <c r="G28" s="82"/>
      <c r="H28" s="82"/>
    </row>
    <row r="29" customFormat="false" ht="15.75" hidden="false" customHeight="true" outlineLevel="0" collapsed="false">
      <c r="A29" s="73" t="s">
        <v>516</v>
      </c>
      <c r="B29" s="18" t="s">
        <v>338</v>
      </c>
      <c r="C29" s="19" t="s">
        <v>339</v>
      </c>
      <c r="D29" s="17" t="s">
        <v>301</v>
      </c>
      <c r="E29" s="20" t="s">
        <v>293</v>
      </c>
      <c r="F29" s="83"/>
      <c r="G29" s="83"/>
      <c r="H29" s="83"/>
    </row>
    <row r="30" customFormat="false" ht="15.75" hidden="false" customHeight="true" outlineLevel="0" collapsed="false">
      <c r="A30" s="73" t="s">
        <v>516</v>
      </c>
      <c r="B30" s="11" t="s">
        <v>340</v>
      </c>
      <c r="C30" s="12" t="s">
        <v>341</v>
      </c>
      <c r="D30" s="10" t="s">
        <v>301</v>
      </c>
      <c r="E30" s="13" t="s">
        <v>293</v>
      </c>
      <c r="F30" s="82"/>
      <c r="G30" s="82"/>
      <c r="H30" s="82"/>
    </row>
    <row r="31" customFormat="false" ht="12.75" hidden="false" customHeight="true" outlineLevel="0" collapsed="false">
      <c r="A31" s="72" t="s">
        <v>642</v>
      </c>
      <c r="B31" s="72"/>
      <c r="C31" s="72"/>
      <c r="D31" s="72"/>
      <c r="E31" s="72"/>
      <c r="F31" s="72"/>
      <c r="G31" s="72"/>
      <c r="H31" s="72"/>
    </row>
    <row r="32" customFormat="false" ht="15.75" hidden="false" customHeight="true" outlineLevel="0" collapsed="false">
      <c r="A32" s="73" t="s">
        <v>516</v>
      </c>
      <c r="B32" s="11" t="s">
        <v>344</v>
      </c>
      <c r="C32" s="12" t="s">
        <v>345</v>
      </c>
      <c r="D32" s="10" t="s">
        <v>343</v>
      </c>
      <c r="E32" s="13" t="s">
        <v>293</v>
      </c>
      <c r="F32" s="82"/>
      <c r="G32" s="82"/>
      <c r="H32" s="82"/>
    </row>
    <row r="33" customFormat="false" ht="15.75" hidden="false" customHeight="true" outlineLevel="0" collapsed="false">
      <c r="A33" s="73" t="s">
        <v>516</v>
      </c>
      <c r="B33" s="18" t="s">
        <v>346</v>
      </c>
      <c r="C33" s="19" t="s">
        <v>347</v>
      </c>
      <c r="D33" s="17" t="s">
        <v>343</v>
      </c>
      <c r="E33" s="20" t="s">
        <v>293</v>
      </c>
      <c r="F33" s="83"/>
      <c r="G33" s="83"/>
      <c r="H33" s="83"/>
    </row>
    <row r="34" customFormat="false" ht="15.75" hidden="false" customHeight="true" outlineLevel="0" collapsed="false">
      <c r="A34" s="73" t="s">
        <v>516</v>
      </c>
      <c r="B34" s="11" t="s">
        <v>348</v>
      </c>
      <c r="C34" s="12" t="s">
        <v>349</v>
      </c>
      <c r="D34" s="10" t="s">
        <v>343</v>
      </c>
      <c r="E34" s="13" t="s">
        <v>293</v>
      </c>
      <c r="F34" s="82"/>
      <c r="G34" s="82"/>
      <c r="H34" s="82"/>
    </row>
    <row r="35" customFormat="false" ht="15.75" hidden="false" customHeight="true" outlineLevel="0" collapsed="false">
      <c r="A35" s="73" t="s">
        <v>516</v>
      </c>
      <c r="B35" s="18" t="s">
        <v>350</v>
      </c>
      <c r="C35" s="19" t="s">
        <v>351</v>
      </c>
      <c r="D35" s="17" t="s">
        <v>343</v>
      </c>
      <c r="E35" s="20" t="s">
        <v>293</v>
      </c>
      <c r="F35" s="83"/>
      <c r="G35" s="83"/>
      <c r="H35" s="83"/>
    </row>
    <row r="36" customFormat="false" ht="15.75" hidden="false" customHeight="true" outlineLevel="0" collapsed="false">
      <c r="A36" s="73" t="s">
        <v>516</v>
      </c>
      <c r="B36" s="11" t="s">
        <v>352</v>
      </c>
      <c r="C36" s="12" t="s">
        <v>353</v>
      </c>
      <c r="D36" s="10" t="s">
        <v>343</v>
      </c>
      <c r="E36" s="13" t="s">
        <v>293</v>
      </c>
      <c r="F36" s="82"/>
      <c r="G36" s="82"/>
      <c r="H36" s="82"/>
    </row>
    <row r="37" customFormat="false" ht="15.75" hidden="false" customHeight="true" outlineLevel="0" collapsed="false">
      <c r="A37" s="73" t="s">
        <v>516</v>
      </c>
      <c r="B37" s="18" t="s">
        <v>354</v>
      </c>
      <c r="C37" s="19" t="s">
        <v>355</v>
      </c>
      <c r="D37" s="17" t="s">
        <v>343</v>
      </c>
      <c r="E37" s="20" t="s">
        <v>293</v>
      </c>
      <c r="F37" s="83"/>
      <c r="G37" s="83"/>
      <c r="H37" s="83"/>
    </row>
    <row r="38" customFormat="false" ht="15.75" hidden="false" customHeight="true" outlineLevel="0" collapsed="false">
      <c r="A38" s="73" t="s">
        <v>516</v>
      </c>
      <c r="B38" s="11" t="s">
        <v>356</v>
      </c>
      <c r="C38" s="12" t="s">
        <v>357</v>
      </c>
      <c r="D38" s="10" t="s">
        <v>343</v>
      </c>
      <c r="E38" s="13" t="s">
        <v>293</v>
      </c>
      <c r="F38" s="82"/>
      <c r="G38" s="82"/>
      <c r="H38" s="82"/>
    </row>
  </sheetData>
  <mergeCells count="5">
    <mergeCell ref="A1:H1"/>
    <mergeCell ref="A2:H2"/>
    <mergeCell ref="A5:H5"/>
    <mergeCell ref="A10:H10"/>
    <mergeCell ref="A31:H31"/>
  </mergeCells>
  <conditionalFormatting sqref="A5:A39">
    <cfRule type="expression" priority="2" aboveAverage="0" equalAverage="0" bottom="0" percent="0" rank="0" text="" dxfId="0">
      <formula>$A5="ACTIVE"</formula>
    </cfRule>
    <cfRule type="expression" priority="3" aboveAverage="0" equalAverage="0" bottom="0" percent="0" rank="0" text="" dxfId="1">
      <formula>$A5="INACTIVE"</formula>
    </cfRule>
  </conditionalFormatting>
  <dataValidations count="1">
    <dataValidation allowBlank="false" errorStyle="stop" operator="between" showDropDown="false" showErrorMessage="false" showInputMessage="false" sqref="A6:A9 A11:A30 A32:A38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9" min="8" style="1" width="28"/>
    <col collapsed="false" customWidth="true" hidden="false" outlineLevel="0" max="10" min="10" style="1" width="30"/>
    <col collapsed="false" customWidth="true" hidden="false" outlineLevel="0" max="11" min="11" style="1" width="14"/>
  </cols>
  <sheetData>
    <row r="1" customFormat="false" ht="27.75" hidden="false" customHeight="true" outlineLevel="0" collapsed="false">
      <c r="A1" s="67" t="s">
        <v>643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customFormat="false" ht="15" hidden="false" customHeight="true" outlineLevel="0" collapsed="false">
      <c r="A2" s="3" t="s">
        <v>503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.75" hidden="false" customHeight="true" outlineLevel="0" collapsed="false"/>
    <row r="4" customFormat="false" ht="27.75" hidden="false" customHeight="true" outlineLevel="0" collapsed="false">
      <c r="A4" s="4" t="s">
        <v>504</v>
      </c>
      <c r="B4" s="4" t="s">
        <v>505</v>
      </c>
      <c r="C4" s="4" t="s">
        <v>506</v>
      </c>
      <c r="D4" s="4" t="s">
        <v>507</v>
      </c>
      <c r="E4" s="4" t="s">
        <v>508</v>
      </c>
      <c r="F4" s="4" t="s">
        <v>509</v>
      </c>
      <c r="G4" s="4" t="s">
        <v>510</v>
      </c>
      <c r="H4" s="4" t="s">
        <v>511</v>
      </c>
      <c r="I4" s="4" t="s">
        <v>512</v>
      </c>
      <c r="J4" s="4" t="s">
        <v>513</v>
      </c>
      <c r="K4" s="4" t="s">
        <v>514</v>
      </c>
    </row>
    <row r="5" customFormat="false" ht="12.75" hidden="false" customHeight="true" outlineLevel="0" collapsed="false">
      <c r="A5" s="72" t="s">
        <v>644</v>
      </c>
      <c r="B5" s="72"/>
      <c r="C5" s="72"/>
      <c r="D5" s="72"/>
      <c r="E5" s="72"/>
      <c r="F5" s="72"/>
      <c r="G5" s="72"/>
      <c r="H5" s="72"/>
      <c r="I5" s="72"/>
      <c r="J5" s="72"/>
      <c r="K5" s="72"/>
    </row>
    <row r="6" customFormat="false" ht="18" hidden="false" customHeight="true" outlineLevel="0" collapsed="false">
      <c r="A6" s="73" t="s">
        <v>516</v>
      </c>
      <c r="B6" s="11" t="s">
        <v>645</v>
      </c>
      <c r="C6" s="12" t="s">
        <v>646</v>
      </c>
      <c r="D6" s="10" t="s">
        <v>647</v>
      </c>
      <c r="E6" s="15" t="n">
        <v>4</v>
      </c>
      <c r="F6" s="11" t="n">
        <v>4</v>
      </c>
      <c r="G6" s="11" t="n">
        <v>0</v>
      </c>
      <c r="H6" s="74" t="s">
        <v>520</v>
      </c>
      <c r="I6" s="74" t="s">
        <v>521</v>
      </c>
      <c r="J6" s="75"/>
      <c r="K6" s="75"/>
    </row>
    <row r="7" customFormat="false" ht="18" hidden="false" customHeight="true" outlineLevel="0" collapsed="false">
      <c r="A7" s="73" t="s">
        <v>516</v>
      </c>
      <c r="B7" s="18" t="s">
        <v>396</v>
      </c>
      <c r="C7" s="19" t="s">
        <v>648</v>
      </c>
      <c r="D7" s="17" t="s">
        <v>647</v>
      </c>
      <c r="E7" s="21" t="n">
        <v>4</v>
      </c>
      <c r="F7" s="18" t="n">
        <v>3</v>
      </c>
      <c r="G7" s="18" t="n">
        <v>1</v>
      </c>
      <c r="H7" s="80" t="s">
        <v>529</v>
      </c>
      <c r="I7" s="81" t="s">
        <v>530</v>
      </c>
      <c r="J7" s="77"/>
      <c r="K7" s="77"/>
    </row>
    <row r="8" customFormat="false" ht="18" hidden="false" customHeight="true" outlineLevel="0" collapsed="false">
      <c r="A8" s="73" t="s">
        <v>516</v>
      </c>
      <c r="B8" s="11" t="s">
        <v>401</v>
      </c>
      <c r="C8" s="12" t="s">
        <v>649</v>
      </c>
      <c r="D8" s="10" t="s">
        <v>647</v>
      </c>
      <c r="E8" s="15" t="n">
        <v>5</v>
      </c>
      <c r="F8" s="11" t="n">
        <v>4</v>
      </c>
      <c r="G8" s="11" t="n">
        <v>1</v>
      </c>
      <c r="H8" s="78" t="s">
        <v>529</v>
      </c>
      <c r="I8" s="79" t="s">
        <v>530</v>
      </c>
      <c r="J8" s="75"/>
      <c r="K8" s="75"/>
    </row>
    <row r="9" customFormat="false" ht="18" hidden="false" customHeight="true" outlineLevel="0" collapsed="false">
      <c r="A9" s="73" t="s">
        <v>516</v>
      </c>
      <c r="B9" s="18" t="s">
        <v>650</v>
      </c>
      <c r="C9" s="19" t="s">
        <v>651</v>
      </c>
      <c r="D9" s="17" t="s">
        <v>647</v>
      </c>
      <c r="E9" s="21" t="n">
        <v>3</v>
      </c>
      <c r="F9" s="18" t="n">
        <v>3</v>
      </c>
      <c r="G9" s="18" t="n">
        <v>0</v>
      </c>
      <c r="H9" s="76" t="s">
        <v>520</v>
      </c>
      <c r="I9" s="76" t="s">
        <v>521</v>
      </c>
      <c r="J9" s="77"/>
      <c r="K9" s="77"/>
    </row>
    <row r="10" customFormat="false" ht="18" hidden="false" customHeight="true" outlineLevel="0" collapsed="false">
      <c r="A10" s="73" t="s">
        <v>516</v>
      </c>
      <c r="B10" s="11" t="s">
        <v>652</v>
      </c>
      <c r="C10" s="12" t="s">
        <v>653</v>
      </c>
      <c r="D10" s="10" t="s">
        <v>647</v>
      </c>
      <c r="E10" s="15" t="n">
        <v>3</v>
      </c>
      <c r="F10" s="11" t="n">
        <v>3</v>
      </c>
      <c r="G10" s="11" t="n">
        <v>0</v>
      </c>
      <c r="H10" s="74" t="s">
        <v>520</v>
      </c>
      <c r="I10" s="74" t="s">
        <v>521</v>
      </c>
      <c r="J10" s="75"/>
      <c r="K10" s="75"/>
    </row>
    <row r="11" customFormat="false" ht="18" hidden="false" customHeight="true" outlineLevel="0" collapsed="false">
      <c r="A11" s="73" t="s">
        <v>516</v>
      </c>
      <c r="B11" s="18" t="s">
        <v>654</v>
      </c>
      <c r="C11" s="19" t="s">
        <v>655</v>
      </c>
      <c r="D11" s="17" t="s">
        <v>647</v>
      </c>
      <c r="E11" s="21" t="n">
        <v>4</v>
      </c>
      <c r="F11" s="18" t="n">
        <v>4</v>
      </c>
      <c r="G11" s="18" t="n">
        <v>0</v>
      </c>
      <c r="H11" s="76" t="s">
        <v>520</v>
      </c>
      <c r="I11" s="76" t="s">
        <v>521</v>
      </c>
      <c r="J11" s="77"/>
      <c r="K11" s="77"/>
    </row>
    <row r="12" customFormat="false" ht="18" hidden="false" customHeight="true" outlineLevel="0" collapsed="false">
      <c r="A12" s="73" t="s">
        <v>516</v>
      </c>
      <c r="B12" s="11" t="s">
        <v>656</v>
      </c>
      <c r="C12" s="12" t="s">
        <v>657</v>
      </c>
      <c r="D12" s="10" t="s">
        <v>647</v>
      </c>
      <c r="E12" s="15" t="n">
        <v>5</v>
      </c>
      <c r="F12" s="11" t="n">
        <v>5</v>
      </c>
      <c r="G12" s="11" t="n">
        <v>0</v>
      </c>
      <c r="H12" s="74" t="s">
        <v>520</v>
      </c>
      <c r="I12" s="74" t="s">
        <v>521</v>
      </c>
      <c r="J12" s="75"/>
      <c r="K12" s="75"/>
    </row>
    <row r="13" customFormat="false" ht="12.75" hidden="false" customHeight="true" outlineLevel="0" collapsed="false">
      <c r="A13" s="72" t="s">
        <v>658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  <row r="14" customFormat="false" ht="18" hidden="false" customHeight="true" outlineLevel="0" collapsed="false">
      <c r="A14" s="73" t="s">
        <v>516</v>
      </c>
      <c r="B14" s="11" t="s">
        <v>398</v>
      </c>
      <c r="C14" s="12" t="s">
        <v>659</v>
      </c>
      <c r="D14" s="10" t="s">
        <v>660</v>
      </c>
      <c r="E14" s="15" t="n">
        <v>2</v>
      </c>
      <c r="F14" s="11" t="n">
        <v>1</v>
      </c>
      <c r="G14" s="11" t="n">
        <v>1</v>
      </c>
      <c r="H14" s="78" t="s">
        <v>529</v>
      </c>
      <c r="I14" s="79" t="s">
        <v>530</v>
      </c>
      <c r="J14" s="75"/>
      <c r="K14" s="75"/>
    </row>
    <row r="15" customFormat="false" ht="18" hidden="false" customHeight="true" outlineLevel="0" collapsed="false">
      <c r="A15" s="73" t="s">
        <v>516</v>
      </c>
      <c r="B15" s="18" t="s">
        <v>661</v>
      </c>
      <c r="C15" s="19" t="s">
        <v>662</v>
      </c>
      <c r="D15" s="17" t="s">
        <v>660</v>
      </c>
      <c r="E15" s="21" t="n">
        <v>2</v>
      </c>
      <c r="F15" s="18" t="n">
        <v>2</v>
      </c>
      <c r="G15" s="18" t="n">
        <v>0</v>
      </c>
      <c r="H15" s="76" t="s">
        <v>520</v>
      </c>
      <c r="I15" s="76" t="s">
        <v>521</v>
      </c>
      <c r="J15" s="77"/>
      <c r="K15" s="77"/>
    </row>
    <row r="16" customFormat="false" ht="12.75" hidden="false" customHeight="true" outlineLevel="0" collapsed="false">
      <c r="A16" s="72" t="s">
        <v>585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</row>
    <row r="17" customFormat="false" ht="18" hidden="false" customHeight="true" outlineLevel="0" collapsed="false">
      <c r="A17" s="73" t="s">
        <v>516</v>
      </c>
      <c r="B17" s="18" t="s">
        <v>663</v>
      </c>
      <c r="C17" s="19" t="s">
        <v>664</v>
      </c>
      <c r="D17" s="17" t="s">
        <v>588</v>
      </c>
      <c r="E17" s="21" t="n">
        <v>2</v>
      </c>
      <c r="F17" s="18" t="n">
        <v>2</v>
      </c>
      <c r="G17" s="18" t="n">
        <v>0</v>
      </c>
      <c r="H17" s="76" t="s">
        <v>520</v>
      </c>
      <c r="I17" s="76" t="s">
        <v>521</v>
      </c>
      <c r="J17" s="77"/>
      <c r="K17" s="77"/>
    </row>
    <row r="18" customFormat="false" ht="18" hidden="false" customHeight="true" outlineLevel="0" collapsed="false">
      <c r="A18" s="73" t="s">
        <v>516</v>
      </c>
      <c r="B18" s="11" t="s">
        <v>665</v>
      </c>
      <c r="C18" s="12" t="s">
        <v>666</v>
      </c>
      <c r="D18" s="10" t="s">
        <v>588</v>
      </c>
      <c r="E18" s="15" t="n">
        <v>3</v>
      </c>
      <c r="F18" s="11" t="n">
        <v>3</v>
      </c>
      <c r="G18" s="11" t="n">
        <v>0</v>
      </c>
      <c r="H18" s="74" t="s">
        <v>520</v>
      </c>
      <c r="I18" s="74" t="s">
        <v>521</v>
      </c>
      <c r="J18" s="75"/>
      <c r="K18" s="75"/>
    </row>
    <row r="19" customFormat="false" ht="18" hidden="false" customHeight="true" outlineLevel="0" collapsed="false">
      <c r="A19" s="73" t="s">
        <v>516</v>
      </c>
      <c r="B19" s="18" t="s">
        <v>667</v>
      </c>
      <c r="C19" s="19" t="s">
        <v>668</v>
      </c>
      <c r="D19" s="17" t="s">
        <v>588</v>
      </c>
      <c r="E19" s="21" t="n">
        <v>4</v>
      </c>
      <c r="F19" s="18" t="n">
        <v>4</v>
      </c>
      <c r="G19" s="18" t="n">
        <v>0</v>
      </c>
      <c r="H19" s="76" t="s">
        <v>520</v>
      </c>
      <c r="I19" s="76" t="s">
        <v>521</v>
      </c>
      <c r="J19" s="77"/>
      <c r="K19" s="77"/>
    </row>
    <row r="20" customFormat="false" ht="18" hidden="false" customHeight="true" outlineLevel="0" collapsed="false">
      <c r="A20" s="73" t="s">
        <v>516</v>
      </c>
      <c r="B20" s="11" t="s">
        <v>427</v>
      </c>
      <c r="C20" s="12" t="s">
        <v>669</v>
      </c>
      <c r="D20" s="10" t="s">
        <v>588</v>
      </c>
      <c r="E20" s="15" t="n">
        <v>2</v>
      </c>
      <c r="F20" s="11" t="n">
        <v>1</v>
      </c>
      <c r="G20" s="11" t="n">
        <v>1</v>
      </c>
      <c r="H20" s="78" t="s">
        <v>529</v>
      </c>
      <c r="I20" s="79" t="s">
        <v>530</v>
      </c>
      <c r="J20" s="75"/>
      <c r="K20" s="75"/>
    </row>
    <row r="21" customFormat="false" ht="18" hidden="false" customHeight="true" outlineLevel="0" collapsed="false">
      <c r="A21" s="73" t="s">
        <v>516</v>
      </c>
      <c r="B21" s="18" t="s">
        <v>670</v>
      </c>
      <c r="C21" s="19" t="s">
        <v>671</v>
      </c>
      <c r="D21" s="17" t="s">
        <v>588</v>
      </c>
      <c r="E21" s="21" t="n">
        <v>2</v>
      </c>
      <c r="F21" s="18" t="n">
        <v>2</v>
      </c>
      <c r="G21" s="18" t="n">
        <v>0</v>
      </c>
      <c r="H21" s="76" t="s">
        <v>520</v>
      </c>
      <c r="I21" s="76" t="s">
        <v>521</v>
      </c>
      <c r="J21" s="77"/>
      <c r="K21" s="77"/>
    </row>
    <row r="22" customFormat="false" ht="18" hidden="false" customHeight="true" outlineLevel="0" collapsed="false">
      <c r="A22" s="73" t="s">
        <v>516</v>
      </c>
      <c r="B22" s="11" t="s">
        <v>390</v>
      </c>
      <c r="C22" s="12" t="s">
        <v>672</v>
      </c>
      <c r="D22" s="10" t="s">
        <v>588</v>
      </c>
      <c r="E22" s="15" t="n">
        <v>3</v>
      </c>
      <c r="F22" s="11" t="n">
        <v>2</v>
      </c>
      <c r="G22" s="11" t="n">
        <v>1</v>
      </c>
      <c r="H22" s="78" t="s">
        <v>529</v>
      </c>
      <c r="I22" s="79" t="s">
        <v>530</v>
      </c>
      <c r="J22" s="75"/>
      <c r="K22" s="75"/>
    </row>
    <row r="23" customFormat="false" ht="18" hidden="false" customHeight="true" outlineLevel="0" collapsed="false">
      <c r="A23" s="73" t="s">
        <v>516</v>
      </c>
      <c r="B23" s="18" t="s">
        <v>419</v>
      </c>
      <c r="C23" s="19" t="s">
        <v>673</v>
      </c>
      <c r="D23" s="17" t="s">
        <v>588</v>
      </c>
      <c r="E23" s="21" t="n">
        <v>1</v>
      </c>
      <c r="F23" s="18" t="n">
        <v>0</v>
      </c>
      <c r="G23" s="18" t="n">
        <v>1</v>
      </c>
      <c r="H23" s="80" t="s">
        <v>529</v>
      </c>
      <c r="I23" s="81" t="s">
        <v>530</v>
      </c>
      <c r="J23" s="77"/>
      <c r="K23" s="77"/>
    </row>
    <row r="24" customFormat="false" ht="18" hidden="false" customHeight="true" outlineLevel="0" collapsed="false">
      <c r="A24" s="73" t="s">
        <v>516</v>
      </c>
      <c r="B24" s="11" t="s">
        <v>674</v>
      </c>
      <c r="C24" s="12" t="s">
        <v>675</v>
      </c>
      <c r="D24" s="10" t="s">
        <v>588</v>
      </c>
      <c r="E24" s="15" t="n">
        <v>5</v>
      </c>
      <c r="F24" s="11" t="n">
        <v>5</v>
      </c>
      <c r="G24" s="11" t="n">
        <v>0</v>
      </c>
      <c r="H24" s="74" t="s">
        <v>520</v>
      </c>
      <c r="I24" s="74" t="s">
        <v>521</v>
      </c>
      <c r="J24" s="75"/>
      <c r="K24" s="75"/>
    </row>
    <row r="25" customFormat="false" ht="18" hidden="false" customHeight="true" outlineLevel="0" collapsed="false">
      <c r="A25" s="73" t="s">
        <v>516</v>
      </c>
      <c r="B25" s="18" t="s">
        <v>424</v>
      </c>
      <c r="C25" s="19" t="s">
        <v>676</v>
      </c>
      <c r="D25" s="17" t="s">
        <v>588</v>
      </c>
      <c r="E25" s="21" t="n">
        <v>2</v>
      </c>
      <c r="F25" s="18" t="n">
        <v>1</v>
      </c>
      <c r="G25" s="18" t="n">
        <v>1</v>
      </c>
      <c r="H25" s="80" t="s">
        <v>529</v>
      </c>
      <c r="I25" s="81" t="s">
        <v>530</v>
      </c>
      <c r="J25" s="77"/>
      <c r="K25" s="77"/>
    </row>
    <row r="26" customFormat="false" ht="18" hidden="false" customHeight="true" outlineLevel="0" collapsed="false">
      <c r="A26" s="73" t="s">
        <v>516</v>
      </c>
      <c r="B26" s="11" t="s">
        <v>677</v>
      </c>
      <c r="C26" s="12" t="s">
        <v>678</v>
      </c>
      <c r="D26" s="10" t="s">
        <v>588</v>
      </c>
      <c r="E26" s="15" t="n">
        <v>4</v>
      </c>
      <c r="F26" s="11" t="n">
        <v>4</v>
      </c>
      <c r="G26" s="11" t="n">
        <v>0</v>
      </c>
      <c r="H26" s="74" t="s">
        <v>520</v>
      </c>
      <c r="I26" s="74" t="s">
        <v>521</v>
      </c>
      <c r="J26" s="75"/>
      <c r="K26" s="75"/>
    </row>
    <row r="27" customFormat="false" ht="18" hidden="false" customHeight="true" outlineLevel="0" collapsed="false">
      <c r="A27" s="73" t="s">
        <v>516</v>
      </c>
      <c r="B27" s="18" t="s">
        <v>679</v>
      </c>
      <c r="C27" s="19" t="s">
        <v>680</v>
      </c>
      <c r="D27" s="17" t="s">
        <v>588</v>
      </c>
      <c r="E27" s="21" t="n">
        <v>10</v>
      </c>
      <c r="F27" s="18" t="n">
        <v>10</v>
      </c>
      <c r="G27" s="18" t="n">
        <v>0</v>
      </c>
      <c r="H27" s="76" t="s">
        <v>520</v>
      </c>
      <c r="I27" s="76" t="s">
        <v>521</v>
      </c>
      <c r="J27" s="77"/>
      <c r="K27" s="77"/>
    </row>
    <row r="28" customFormat="false" ht="18" hidden="false" customHeight="true" outlineLevel="0" collapsed="false">
      <c r="A28" s="73" t="s">
        <v>516</v>
      </c>
      <c r="B28" s="11" t="s">
        <v>681</v>
      </c>
      <c r="C28" s="12" t="s">
        <v>682</v>
      </c>
      <c r="D28" s="10" t="s">
        <v>588</v>
      </c>
      <c r="E28" s="15" t="n">
        <v>2</v>
      </c>
      <c r="F28" s="11" t="n">
        <v>2</v>
      </c>
      <c r="G28" s="11" t="n">
        <v>0</v>
      </c>
      <c r="H28" s="74" t="s">
        <v>520</v>
      </c>
      <c r="I28" s="74" t="s">
        <v>521</v>
      </c>
      <c r="J28" s="75"/>
      <c r="K28" s="75"/>
    </row>
    <row r="29" customFormat="false" ht="18" hidden="false" customHeight="true" outlineLevel="0" collapsed="false">
      <c r="A29" s="73" t="s">
        <v>516</v>
      </c>
      <c r="B29" s="18" t="s">
        <v>683</v>
      </c>
      <c r="C29" s="19" t="s">
        <v>684</v>
      </c>
      <c r="D29" s="17" t="s">
        <v>588</v>
      </c>
      <c r="E29" s="21" t="n">
        <v>4</v>
      </c>
      <c r="F29" s="18" t="n">
        <v>4</v>
      </c>
      <c r="G29" s="18" t="n">
        <v>0</v>
      </c>
      <c r="H29" s="76" t="s">
        <v>520</v>
      </c>
      <c r="I29" s="76" t="s">
        <v>521</v>
      </c>
      <c r="J29" s="77"/>
      <c r="K29" s="77"/>
    </row>
    <row r="30" customFormat="false" ht="18" hidden="false" customHeight="true" outlineLevel="0" collapsed="false">
      <c r="A30" s="73" t="s">
        <v>516</v>
      </c>
      <c r="B30" s="11" t="s">
        <v>685</v>
      </c>
      <c r="C30" s="12" t="s">
        <v>686</v>
      </c>
      <c r="D30" s="10" t="s">
        <v>588</v>
      </c>
      <c r="E30" s="15" t="n">
        <v>3</v>
      </c>
      <c r="F30" s="11" t="n">
        <v>3</v>
      </c>
      <c r="G30" s="11" t="n">
        <v>0</v>
      </c>
      <c r="H30" s="74" t="s">
        <v>520</v>
      </c>
      <c r="I30" s="74" t="s">
        <v>521</v>
      </c>
      <c r="J30" s="75"/>
      <c r="K30" s="75"/>
    </row>
    <row r="31" customFormat="false" ht="18" hidden="false" customHeight="true" outlineLevel="0" collapsed="false">
      <c r="A31" s="73" t="s">
        <v>516</v>
      </c>
      <c r="B31" s="18" t="s">
        <v>416</v>
      </c>
      <c r="C31" s="19" t="s">
        <v>687</v>
      </c>
      <c r="D31" s="17" t="s">
        <v>588</v>
      </c>
      <c r="E31" s="21" t="n">
        <v>3</v>
      </c>
      <c r="F31" s="18" t="n">
        <v>2</v>
      </c>
      <c r="G31" s="18" t="n">
        <v>1</v>
      </c>
      <c r="H31" s="80" t="s">
        <v>529</v>
      </c>
      <c r="I31" s="81" t="s">
        <v>530</v>
      </c>
      <c r="J31" s="77"/>
      <c r="K31" s="77"/>
    </row>
    <row r="32" customFormat="false" ht="18" hidden="false" customHeight="true" outlineLevel="0" collapsed="false">
      <c r="A32" s="73" t="s">
        <v>516</v>
      </c>
      <c r="B32" s="11" t="s">
        <v>599</v>
      </c>
      <c r="C32" s="12" t="s">
        <v>600</v>
      </c>
      <c r="D32" s="10" t="s">
        <v>588</v>
      </c>
      <c r="E32" s="15" t="n">
        <v>2</v>
      </c>
      <c r="F32" s="11" t="n">
        <v>2</v>
      </c>
      <c r="G32" s="11" t="n">
        <v>0</v>
      </c>
      <c r="H32" s="74" t="s">
        <v>520</v>
      </c>
      <c r="I32" s="74" t="s">
        <v>521</v>
      </c>
      <c r="J32" s="75"/>
      <c r="K32" s="75"/>
    </row>
    <row r="33" customFormat="false" ht="18" hidden="false" customHeight="true" outlineLevel="0" collapsed="false">
      <c r="A33" s="73" t="s">
        <v>516</v>
      </c>
      <c r="B33" s="18" t="s">
        <v>688</v>
      </c>
      <c r="C33" s="19" t="s">
        <v>689</v>
      </c>
      <c r="D33" s="17" t="s">
        <v>588</v>
      </c>
      <c r="E33" s="21" t="n">
        <v>3</v>
      </c>
      <c r="F33" s="18" t="n">
        <v>3</v>
      </c>
      <c r="G33" s="18" t="n">
        <v>0</v>
      </c>
      <c r="H33" s="76" t="s">
        <v>520</v>
      </c>
      <c r="I33" s="76" t="s">
        <v>521</v>
      </c>
      <c r="J33" s="77"/>
      <c r="K33" s="77"/>
    </row>
    <row r="34" customFormat="false" ht="18" hidden="false" customHeight="true" outlineLevel="0" collapsed="false">
      <c r="A34" s="73" t="s">
        <v>516</v>
      </c>
      <c r="B34" s="11" t="s">
        <v>690</v>
      </c>
      <c r="C34" s="12" t="s">
        <v>691</v>
      </c>
      <c r="D34" s="10" t="s">
        <v>588</v>
      </c>
      <c r="E34" s="15" t="n">
        <v>4</v>
      </c>
      <c r="F34" s="11" t="n">
        <v>4</v>
      </c>
      <c r="G34" s="11" t="n">
        <v>0</v>
      </c>
      <c r="H34" s="74" t="s">
        <v>520</v>
      </c>
      <c r="I34" s="74" t="s">
        <v>521</v>
      </c>
      <c r="J34" s="75"/>
      <c r="K34" s="75"/>
    </row>
    <row r="35" customFormat="false" ht="18" hidden="false" customHeight="true" outlineLevel="0" collapsed="false">
      <c r="A35" s="73" t="s">
        <v>516</v>
      </c>
      <c r="B35" s="18" t="s">
        <v>452</v>
      </c>
      <c r="C35" s="19" t="s">
        <v>692</v>
      </c>
      <c r="D35" s="17" t="s">
        <v>588</v>
      </c>
      <c r="E35" s="21" t="n">
        <v>7</v>
      </c>
      <c r="F35" s="18" t="n">
        <v>6</v>
      </c>
      <c r="G35" s="18" t="n">
        <v>1</v>
      </c>
      <c r="H35" s="80" t="s">
        <v>529</v>
      </c>
      <c r="I35" s="81" t="s">
        <v>530</v>
      </c>
      <c r="J35" s="77"/>
      <c r="K35" s="77"/>
    </row>
    <row r="36" customFormat="false" ht="18" hidden="false" customHeight="true" outlineLevel="0" collapsed="false">
      <c r="A36" s="73" t="s">
        <v>516</v>
      </c>
      <c r="B36" s="11" t="s">
        <v>693</v>
      </c>
      <c r="C36" s="12" t="s">
        <v>694</v>
      </c>
      <c r="D36" s="10" t="s">
        <v>588</v>
      </c>
      <c r="E36" s="15" t="n">
        <v>3</v>
      </c>
      <c r="F36" s="11" t="n">
        <v>3</v>
      </c>
      <c r="G36" s="11" t="n">
        <v>0</v>
      </c>
      <c r="H36" s="74" t="s">
        <v>520</v>
      </c>
      <c r="I36" s="74" t="s">
        <v>521</v>
      </c>
      <c r="J36" s="75"/>
      <c r="K36" s="75"/>
    </row>
    <row r="37" customFormat="false" ht="18" hidden="false" customHeight="true" outlineLevel="0" collapsed="false">
      <c r="A37" s="73" t="s">
        <v>516</v>
      </c>
      <c r="B37" s="18" t="s">
        <v>695</v>
      </c>
      <c r="C37" s="19" t="s">
        <v>696</v>
      </c>
      <c r="D37" s="17" t="s">
        <v>588</v>
      </c>
      <c r="E37" s="21" t="n">
        <v>3</v>
      </c>
      <c r="F37" s="18" t="n">
        <v>3</v>
      </c>
      <c r="G37" s="18" t="n">
        <v>0</v>
      </c>
      <c r="H37" s="76" t="s">
        <v>520</v>
      </c>
      <c r="I37" s="76" t="s">
        <v>521</v>
      </c>
      <c r="J37" s="77"/>
      <c r="K37" s="77"/>
    </row>
    <row r="38" customFormat="false" ht="18" hidden="false" customHeight="true" outlineLevel="0" collapsed="false">
      <c r="A38" s="73" t="s">
        <v>516</v>
      </c>
      <c r="B38" s="11" t="s">
        <v>697</v>
      </c>
      <c r="C38" s="12" t="s">
        <v>698</v>
      </c>
      <c r="D38" s="10" t="s">
        <v>588</v>
      </c>
      <c r="E38" s="15" t="n">
        <v>6</v>
      </c>
      <c r="F38" s="11" t="n">
        <v>6</v>
      </c>
      <c r="G38" s="11" t="n">
        <v>0</v>
      </c>
      <c r="H38" s="74" t="s">
        <v>520</v>
      </c>
      <c r="I38" s="74" t="s">
        <v>521</v>
      </c>
      <c r="J38" s="75"/>
      <c r="K38" s="75"/>
    </row>
    <row r="39" customFormat="false" ht="18" hidden="false" customHeight="true" outlineLevel="0" collapsed="false">
      <c r="A39" s="73" t="s">
        <v>516</v>
      </c>
      <c r="B39" s="18" t="s">
        <v>699</v>
      </c>
      <c r="C39" s="19" t="s">
        <v>700</v>
      </c>
      <c r="D39" s="17" t="s">
        <v>588</v>
      </c>
      <c r="E39" s="21" t="n">
        <v>2</v>
      </c>
      <c r="F39" s="18" t="n">
        <v>2</v>
      </c>
      <c r="G39" s="18" t="n">
        <v>0</v>
      </c>
      <c r="H39" s="76" t="s">
        <v>520</v>
      </c>
      <c r="I39" s="76" t="s">
        <v>521</v>
      </c>
      <c r="J39" s="77"/>
      <c r="K39" s="77"/>
    </row>
    <row r="40" customFormat="false" ht="18" hidden="false" customHeight="true" outlineLevel="0" collapsed="false">
      <c r="A40" s="73" t="s">
        <v>516</v>
      </c>
      <c r="B40" s="11" t="s">
        <v>701</v>
      </c>
      <c r="C40" s="12" t="s">
        <v>702</v>
      </c>
      <c r="D40" s="10" t="s">
        <v>588</v>
      </c>
      <c r="E40" s="15" t="n">
        <v>5</v>
      </c>
      <c r="F40" s="11" t="n">
        <v>5</v>
      </c>
      <c r="G40" s="11" t="n">
        <v>0</v>
      </c>
      <c r="H40" s="74" t="s">
        <v>520</v>
      </c>
      <c r="I40" s="74" t="s">
        <v>521</v>
      </c>
      <c r="J40" s="75"/>
      <c r="K40" s="75"/>
    </row>
    <row r="41" customFormat="false" ht="18" hidden="false" customHeight="true" outlineLevel="0" collapsed="false">
      <c r="A41" s="73" t="s">
        <v>516</v>
      </c>
      <c r="B41" s="18" t="s">
        <v>703</v>
      </c>
      <c r="C41" s="19" t="s">
        <v>704</v>
      </c>
      <c r="D41" s="17" t="s">
        <v>588</v>
      </c>
      <c r="E41" s="21" t="n">
        <v>3</v>
      </c>
      <c r="F41" s="18" t="n">
        <v>3</v>
      </c>
      <c r="G41" s="18" t="n">
        <v>0</v>
      </c>
      <c r="H41" s="76" t="s">
        <v>520</v>
      </c>
      <c r="I41" s="76" t="s">
        <v>521</v>
      </c>
      <c r="J41" s="77"/>
      <c r="K41" s="77"/>
    </row>
    <row r="42" customFormat="false" ht="18" hidden="false" customHeight="true" outlineLevel="0" collapsed="false">
      <c r="A42" s="73" t="s">
        <v>516</v>
      </c>
      <c r="B42" s="11" t="s">
        <v>705</v>
      </c>
      <c r="C42" s="12" t="s">
        <v>706</v>
      </c>
      <c r="D42" s="10" t="s">
        <v>588</v>
      </c>
      <c r="E42" s="15" t="n">
        <v>5</v>
      </c>
      <c r="F42" s="11" t="n">
        <v>5</v>
      </c>
      <c r="G42" s="11" t="n">
        <v>0</v>
      </c>
      <c r="H42" s="74" t="s">
        <v>520</v>
      </c>
      <c r="I42" s="74" t="s">
        <v>521</v>
      </c>
      <c r="J42" s="75"/>
      <c r="K42" s="75"/>
    </row>
    <row r="43" customFormat="false" ht="18" hidden="false" customHeight="true" outlineLevel="0" collapsed="false">
      <c r="A43" s="73" t="s">
        <v>516</v>
      </c>
      <c r="B43" s="18" t="s">
        <v>707</v>
      </c>
      <c r="C43" s="19" t="s">
        <v>708</v>
      </c>
      <c r="D43" s="17" t="s">
        <v>588</v>
      </c>
      <c r="E43" s="21" t="n">
        <v>7</v>
      </c>
      <c r="F43" s="18" t="n">
        <v>7</v>
      </c>
      <c r="G43" s="18" t="n">
        <v>0</v>
      </c>
      <c r="H43" s="76" t="s">
        <v>520</v>
      </c>
      <c r="I43" s="76" t="s">
        <v>521</v>
      </c>
      <c r="J43" s="77"/>
      <c r="K43" s="77"/>
    </row>
    <row r="44" customFormat="false" ht="18" hidden="false" customHeight="true" outlineLevel="0" collapsed="false">
      <c r="A44" s="73" t="s">
        <v>516</v>
      </c>
      <c r="B44" s="11" t="s">
        <v>709</v>
      </c>
      <c r="C44" s="12" t="s">
        <v>710</v>
      </c>
      <c r="D44" s="10" t="s">
        <v>588</v>
      </c>
      <c r="E44" s="15" t="n">
        <v>9</v>
      </c>
      <c r="F44" s="11" t="n">
        <v>9</v>
      </c>
      <c r="G44" s="11" t="n">
        <v>0</v>
      </c>
      <c r="H44" s="74" t="s">
        <v>520</v>
      </c>
      <c r="I44" s="74" t="s">
        <v>521</v>
      </c>
      <c r="J44" s="75"/>
      <c r="K44" s="75"/>
    </row>
    <row r="45" customFormat="false" ht="18" hidden="false" customHeight="true" outlineLevel="0" collapsed="false">
      <c r="A45" s="73" t="s">
        <v>516</v>
      </c>
      <c r="B45" s="18" t="s">
        <v>711</v>
      </c>
      <c r="C45" s="19" t="s">
        <v>712</v>
      </c>
      <c r="D45" s="17" t="s">
        <v>588</v>
      </c>
      <c r="E45" s="21" t="n">
        <v>5</v>
      </c>
      <c r="F45" s="18" t="n">
        <v>5</v>
      </c>
      <c r="G45" s="18" t="n">
        <v>0</v>
      </c>
      <c r="H45" s="76" t="s">
        <v>520</v>
      </c>
      <c r="I45" s="76" t="s">
        <v>521</v>
      </c>
      <c r="J45" s="77"/>
      <c r="K45" s="77"/>
    </row>
    <row r="46" customFormat="false" ht="18" hidden="false" customHeight="true" outlineLevel="0" collapsed="false">
      <c r="A46" s="73" t="s">
        <v>516</v>
      </c>
      <c r="B46" s="11" t="s">
        <v>713</v>
      </c>
      <c r="C46" s="12" t="s">
        <v>714</v>
      </c>
      <c r="D46" s="10" t="s">
        <v>588</v>
      </c>
      <c r="E46" s="15" t="n">
        <v>4</v>
      </c>
      <c r="F46" s="11" t="n">
        <v>4</v>
      </c>
      <c r="G46" s="11" t="n">
        <v>0</v>
      </c>
      <c r="H46" s="74" t="s">
        <v>520</v>
      </c>
      <c r="I46" s="74" t="s">
        <v>521</v>
      </c>
      <c r="J46" s="75"/>
      <c r="K46" s="75"/>
    </row>
    <row r="47" customFormat="false" ht="18" hidden="false" customHeight="true" outlineLevel="0" collapsed="false">
      <c r="A47" s="73" t="s">
        <v>516</v>
      </c>
      <c r="B47" s="18" t="s">
        <v>715</v>
      </c>
      <c r="C47" s="19" t="s">
        <v>716</v>
      </c>
      <c r="D47" s="17" t="s">
        <v>588</v>
      </c>
      <c r="E47" s="21" t="n">
        <v>2</v>
      </c>
      <c r="F47" s="18" t="n">
        <v>2</v>
      </c>
      <c r="G47" s="18" t="n">
        <v>0</v>
      </c>
      <c r="H47" s="76" t="s">
        <v>520</v>
      </c>
      <c r="I47" s="76" t="s">
        <v>521</v>
      </c>
      <c r="J47" s="77"/>
      <c r="K47" s="77"/>
    </row>
    <row r="48" customFormat="false" ht="18" hidden="false" customHeight="true" outlineLevel="0" collapsed="false">
      <c r="A48" s="73" t="s">
        <v>516</v>
      </c>
      <c r="B48" s="11" t="s">
        <v>399</v>
      </c>
      <c r="C48" s="12" t="s">
        <v>607</v>
      </c>
      <c r="D48" s="10" t="s">
        <v>588</v>
      </c>
      <c r="E48" s="15" t="n">
        <v>3</v>
      </c>
      <c r="F48" s="11" t="n">
        <v>2</v>
      </c>
      <c r="G48" s="11" t="n">
        <v>1</v>
      </c>
      <c r="H48" s="78" t="s">
        <v>529</v>
      </c>
      <c r="I48" s="79" t="s">
        <v>530</v>
      </c>
      <c r="J48" s="75"/>
      <c r="K48" s="75"/>
    </row>
    <row r="49" customFormat="false" ht="18" hidden="false" customHeight="true" outlineLevel="0" collapsed="false">
      <c r="A49" s="73" t="s">
        <v>516</v>
      </c>
      <c r="B49" s="18" t="s">
        <v>414</v>
      </c>
      <c r="C49" s="19" t="s">
        <v>717</v>
      </c>
      <c r="D49" s="17" t="s">
        <v>588</v>
      </c>
      <c r="E49" s="21" t="n">
        <v>4</v>
      </c>
      <c r="F49" s="18" t="n">
        <v>2</v>
      </c>
      <c r="G49" s="18" t="n">
        <v>2</v>
      </c>
      <c r="H49" s="80" t="s">
        <v>532</v>
      </c>
      <c r="I49" s="81" t="s">
        <v>533</v>
      </c>
      <c r="J49" s="77"/>
      <c r="K49" s="77"/>
    </row>
    <row r="50" customFormat="false" ht="18" hidden="false" customHeight="true" outlineLevel="0" collapsed="false">
      <c r="A50" s="73" t="s">
        <v>516</v>
      </c>
      <c r="B50" s="11" t="s">
        <v>418</v>
      </c>
      <c r="C50" s="12" t="s">
        <v>718</v>
      </c>
      <c r="D50" s="10" t="s">
        <v>588</v>
      </c>
      <c r="E50" s="15" t="n">
        <v>3</v>
      </c>
      <c r="F50" s="11" t="n">
        <v>1</v>
      </c>
      <c r="G50" s="11" t="n">
        <v>2</v>
      </c>
      <c r="H50" s="78" t="s">
        <v>532</v>
      </c>
      <c r="I50" s="79" t="s">
        <v>533</v>
      </c>
      <c r="J50" s="75"/>
      <c r="K50" s="75"/>
    </row>
    <row r="51" customFormat="false" ht="18" hidden="false" customHeight="true" outlineLevel="0" collapsed="false">
      <c r="A51" s="73" t="s">
        <v>516</v>
      </c>
      <c r="B51" s="18" t="s">
        <v>719</v>
      </c>
      <c r="C51" s="19" t="s">
        <v>720</v>
      </c>
      <c r="D51" s="17" t="s">
        <v>588</v>
      </c>
      <c r="E51" s="21" t="n">
        <v>2</v>
      </c>
      <c r="F51" s="18" t="n">
        <v>2</v>
      </c>
      <c r="G51" s="18" t="n">
        <v>0</v>
      </c>
      <c r="H51" s="76" t="s">
        <v>520</v>
      </c>
      <c r="I51" s="76" t="s">
        <v>521</v>
      </c>
      <c r="J51" s="77"/>
      <c r="K51" s="77"/>
    </row>
    <row r="52" customFormat="false" ht="12.75" hidden="false" customHeight="true" outlineLevel="0" collapsed="false">
      <c r="A52" s="72" t="s">
        <v>19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</row>
    <row r="53" customFormat="false" ht="18" hidden="false" customHeight="true" outlineLevel="0" collapsed="false">
      <c r="A53" s="73" t="s">
        <v>516</v>
      </c>
      <c r="B53" s="18" t="s">
        <v>406</v>
      </c>
      <c r="C53" s="19"/>
      <c r="D53" s="17" t="s">
        <v>721</v>
      </c>
      <c r="E53" s="21" t="n">
        <v>11</v>
      </c>
      <c r="F53" s="18" t="n">
        <v>6</v>
      </c>
      <c r="G53" s="18" t="n">
        <v>5</v>
      </c>
      <c r="H53" s="80" t="s">
        <v>722</v>
      </c>
      <c r="I53" s="81" t="s">
        <v>723</v>
      </c>
      <c r="J53" s="77"/>
      <c r="K53" s="77"/>
    </row>
    <row r="54" customFormat="false" ht="18" hidden="false" customHeight="true" outlineLevel="0" collapsed="false">
      <c r="A54" s="73" t="s">
        <v>516</v>
      </c>
      <c r="B54" s="11" t="s">
        <v>724</v>
      </c>
      <c r="C54" s="12"/>
      <c r="D54" s="10" t="s">
        <v>721</v>
      </c>
      <c r="E54" s="15" t="n">
        <v>10</v>
      </c>
      <c r="F54" s="11" t="n">
        <v>10</v>
      </c>
      <c r="G54" s="11" t="n">
        <v>0</v>
      </c>
      <c r="H54" s="74" t="s">
        <v>520</v>
      </c>
      <c r="I54" s="74" t="s">
        <v>521</v>
      </c>
      <c r="J54" s="75"/>
      <c r="K54" s="75"/>
    </row>
    <row r="55" customFormat="false" ht="18" hidden="false" customHeight="true" outlineLevel="0" collapsed="false">
      <c r="A55" s="73" t="s">
        <v>516</v>
      </c>
      <c r="B55" s="18" t="s">
        <v>725</v>
      </c>
      <c r="C55" s="19"/>
      <c r="D55" s="17" t="s">
        <v>721</v>
      </c>
      <c r="E55" s="21" t="n">
        <v>9</v>
      </c>
      <c r="F55" s="18" t="n">
        <v>9</v>
      </c>
      <c r="G55" s="18" t="n">
        <v>0</v>
      </c>
      <c r="H55" s="76" t="s">
        <v>520</v>
      </c>
      <c r="I55" s="76" t="s">
        <v>521</v>
      </c>
      <c r="J55" s="77"/>
      <c r="K55" s="77"/>
    </row>
    <row r="56" customFormat="false" ht="12.75" hidden="false" customHeight="true" outlineLevel="0" collapsed="false">
      <c r="A56" s="72" t="s">
        <v>726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</row>
    <row r="57" customFormat="false" ht="18" hidden="false" customHeight="true" outlineLevel="0" collapsed="false">
      <c r="A57" s="73" t="s">
        <v>516</v>
      </c>
      <c r="B57" s="18" t="s">
        <v>727</v>
      </c>
      <c r="C57" s="19" t="s">
        <v>728</v>
      </c>
      <c r="D57" s="17" t="s">
        <v>729</v>
      </c>
      <c r="E57" s="21" t="n">
        <v>11</v>
      </c>
      <c r="F57" s="18" t="n">
        <v>11</v>
      </c>
      <c r="G57" s="18" t="n">
        <v>0</v>
      </c>
      <c r="H57" s="76" t="s">
        <v>520</v>
      </c>
      <c r="I57" s="76" t="s">
        <v>521</v>
      </c>
      <c r="J57" s="77"/>
      <c r="K57" s="77"/>
    </row>
    <row r="58" customFormat="false" ht="18" hidden="false" customHeight="true" outlineLevel="0" collapsed="false">
      <c r="A58" s="73" t="s">
        <v>516</v>
      </c>
      <c r="B58" s="11" t="s">
        <v>730</v>
      </c>
      <c r="C58" s="12" t="s">
        <v>731</v>
      </c>
      <c r="D58" s="10" t="s">
        <v>729</v>
      </c>
      <c r="E58" s="15" t="n">
        <v>5</v>
      </c>
      <c r="F58" s="11" t="n">
        <v>5</v>
      </c>
      <c r="G58" s="11" t="n">
        <v>0</v>
      </c>
      <c r="H58" s="74" t="s">
        <v>520</v>
      </c>
      <c r="I58" s="74" t="s">
        <v>521</v>
      </c>
      <c r="J58" s="75"/>
      <c r="K58" s="75"/>
    </row>
    <row r="59" customFormat="false" ht="18" hidden="false" customHeight="true" outlineLevel="0" collapsed="false">
      <c r="A59" s="73" t="s">
        <v>516</v>
      </c>
      <c r="B59" s="18" t="s">
        <v>732</v>
      </c>
      <c r="C59" s="19" t="s">
        <v>733</v>
      </c>
      <c r="D59" s="17" t="s">
        <v>729</v>
      </c>
      <c r="E59" s="21" t="n">
        <v>8</v>
      </c>
      <c r="F59" s="18" t="n">
        <v>8</v>
      </c>
      <c r="G59" s="18" t="n">
        <v>0</v>
      </c>
      <c r="H59" s="76" t="s">
        <v>520</v>
      </c>
      <c r="I59" s="76" t="s">
        <v>521</v>
      </c>
      <c r="J59" s="77"/>
      <c r="K59" s="77"/>
    </row>
    <row r="60" customFormat="false" ht="18" hidden="false" customHeight="true" outlineLevel="0" collapsed="false">
      <c r="A60" s="73" t="s">
        <v>516</v>
      </c>
      <c r="B60" s="11" t="s">
        <v>388</v>
      </c>
      <c r="C60" s="12" t="s">
        <v>734</v>
      </c>
      <c r="D60" s="10" t="s">
        <v>729</v>
      </c>
      <c r="E60" s="15" t="n">
        <v>12</v>
      </c>
      <c r="F60" s="11" t="n">
        <v>11</v>
      </c>
      <c r="G60" s="11" t="n">
        <v>1</v>
      </c>
      <c r="H60" s="78" t="s">
        <v>529</v>
      </c>
      <c r="I60" s="79" t="s">
        <v>530</v>
      </c>
      <c r="J60" s="75"/>
      <c r="K60" s="75"/>
    </row>
    <row r="61" customFormat="false" ht="12.75" hidden="false" customHeight="true" outlineLevel="0" collapsed="false">
      <c r="A61" s="72" t="s">
        <v>735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</row>
    <row r="62" customFormat="false" ht="18" hidden="false" customHeight="true" outlineLevel="0" collapsed="false">
      <c r="A62" s="73" t="s">
        <v>516</v>
      </c>
      <c r="B62" s="11" t="s">
        <v>736</v>
      </c>
      <c r="C62" s="12" t="s">
        <v>737</v>
      </c>
      <c r="D62" s="10" t="s">
        <v>738</v>
      </c>
      <c r="E62" s="15" t="n">
        <v>14</v>
      </c>
      <c r="F62" s="11" t="n">
        <v>14</v>
      </c>
      <c r="G62" s="11" t="n">
        <v>0</v>
      </c>
      <c r="H62" s="74" t="s">
        <v>520</v>
      </c>
      <c r="I62" s="74" t="s">
        <v>521</v>
      </c>
      <c r="J62" s="75"/>
      <c r="K62" s="75"/>
    </row>
    <row r="63" customFormat="false" ht="18" hidden="false" customHeight="true" outlineLevel="0" collapsed="false">
      <c r="A63" s="73" t="s">
        <v>516</v>
      </c>
      <c r="B63" s="18" t="s">
        <v>739</v>
      </c>
      <c r="C63" s="19" t="s">
        <v>740</v>
      </c>
      <c r="D63" s="17" t="s">
        <v>738</v>
      </c>
      <c r="E63" s="21" t="n">
        <v>14</v>
      </c>
      <c r="F63" s="18" t="n">
        <v>14</v>
      </c>
      <c r="G63" s="18" t="n">
        <v>0</v>
      </c>
      <c r="H63" s="76" t="s">
        <v>520</v>
      </c>
      <c r="I63" s="76" t="s">
        <v>521</v>
      </c>
      <c r="J63" s="77"/>
      <c r="K63" s="77"/>
    </row>
    <row r="64" customFormat="false" ht="18" hidden="false" customHeight="true" outlineLevel="0" collapsed="false">
      <c r="A64" s="73" t="s">
        <v>516</v>
      </c>
      <c r="B64" s="11" t="s">
        <v>741</v>
      </c>
      <c r="C64" s="12" t="s">
        <v>742</v>
      </c>
      <c r="D64" s="10" t="s">
        <v>738</v>
      </c>
      <c r="E64" s="15" t="n">
        <v>13</v>
      </c>
      <c r="F64" s="11" t="n">
        <v>13</v>
      </c>
      <c r="G64" s="11" t="n">
        <v>0</v>
      </c>
      <c r="H64" s="74" t="s">
        <v>520</v>
      </c>
      <c r="I64" s="74" t="s">
        <v>521</v>
      </c>
      <c r="J64" s="75"/>
      <c r="K64" s="75"/>
    </row>
    <row r="65" customFormat="false" ht="18" hidden="false" customHeight="true" outlineLevel="0" collapsed="false">
      <c r="A65" s="73" t="s">
        <v>516</v>
      </c>
      <c r="B65" s="18" t="s">
        <v>743</v>
      </c>
      <c r="C65" s="19" t="s">
        <v>744</v>
      </c>
      <c r="D65" s="17" t="s">
        <v>738</v>
      </c>
      <c r="E65" s="21" t="n">
        <v>13</v>
      </c>
      <c r="F65" s="18" t="n">
        <v>13</v>
      </c>
      <c r="G65" s="18" t="n">
        <v>0</v>
      </c>
      <c r="H65" s="76" t="s">
        <v>520</v>
      </c>
      <c r="I65" s="76" t="s">
        <v>521</v>
      </c>
      <c r="J65" s="77"/>
      <c r="K65" s="77"/>
    </row>
    <row r="66" customFormat="false" ht="12.75" hidden="false" customHeight="true" outlineLevel="0" collapsed="false">
      <c r="A66" s="72" t="s">
        <v>745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</row>
    <row r="67" customFormat="false" ht="18" hidden="false" customHeight="true" outlineLevel="0" collapsed="false">
      <c r="A67" s="73" t="s">
        <v>516</v>
      </c>
      <c r="B67" s="18" t="s">
        <v>746</v>
      </c>
      <c r="C67" s="19" t="s">
        <v>747</v>
      </c>
      <c r="D67" s="17" t="s">
        <v>748</v>
      </c>
      <c r="E67" s="21" t="n">
        <v>12</v>
      </c>
      <c r="F67" s="18" t="n">
        <v>12</v>
      </c>
      <c r="G67" s="18" t="n">
        <v>0</v>
      </c>
      <c r="H67" s="76" t="s">
        <v>520</v>
      </c>
      <c r="I67" s="76" t="s">
        <v>521</v>
      </c>
      <c r="J67" s="77"/>
      <c r="K67" s="77"/>
    </row>
    <row r="68" customFormat="false" ht="18" hidden="false" customHeight="true" outlineLevel="0" collapsed="false">
      <c r="A68" s="73" t="s">
        <v>516</v>
      </c>
      <c r="B68" s="11" t="s">
        <v>749</v>
      </c>
      <c r="C68" s="12" t="s">
        <v>750</v>
      </c>
      <c r="D68" s="10" t="s">
        <v>748</v>
      </c>
      <c r="E68" s="15" t="n">
        <v>12</v>
      </c>
      <c r="F68" s="11" t="n">
        <v>12</v>
      </c>
      <c r="G68" s="11" t="n">
        <v>0</v>
      </c>
      <c r="H68" s="74" t="s">
        <v>520</v>
      </c>
      <c r="I68" s="74" t="s">
        <v>521</v>
      </c>
      <c r="J68" s="75"/>
      <c r="K68" s="75"/>
    </row>
    <row r="69" customFormat="false" ht="18" hidden="false" customHeight="true" outlineLevel="0" collapsed="false">
      <c r="A69" s="73" t="s">
        <v>516</v>
      </c>
      <c r="B69" s="18" t="s">
        <v>422</v>
      </c>
      <c r="C69" s="19" t="s">
        <v>751</v>
      </c>
      <c r="D69" s="17" t="s">
        <v>748</v>
      </c>
      <c r="E69" s="21" t="n">
        <v>6</v>
      </c>
      <c r="F69" s="18" t="n">
        <v>5</v>
      </c>
      <c r="G69" s="18" t="n">
        <v>1</v>
      </c>
      <c r="H69" s="80" t="s">
        <v>529</v>
      </c>
      <c r="I69" s="81" t="s">
        <v>530</v>
      </c>
      <c r="J69" s="77"/>
      <c r="K69" s="77"/>
    </row>
    <row r="70" customFormat="false" ht="18" hidden="false" customHeight="true" outlineLevel="0" collapsed="false">
      <c r="A70" s="73" t="s">
        <v>516</v>
      </c>
      <c r="B70" s="11" t="s">
        <v>752</v>
      </c>
      <c r="C70" s="12" t="s">
        <v>753</v>
      </c>
      <c r="D70" s="10" t="s">
        <v>748</v>
      </c>
      <c r="E70" s="15" t="n">
        <v>7</v>
      </c>
      <c r="F70" s="11" t="n">
        <v>7</v>
      </c>
      <c r="G70" s="11" t="n">
        <v>0</v>
      </c>
      <c r="H70" s="74" t="s">
        <v>520</v>
      </c>
      <c r="I70" s="74" t="s">
        <v>521</v>
      </c>
      <c r="J70" s="75"/>
      <c r="K70" s="75"/>
    </row>
    <row r="71" customFormat="false" ht="18" hidden="false" customHeight="true" outlineLevel="0" collapsed="false">
      <c r="A71" s="73" t="s">
        <v>516</v>
      </c>
      <c r="B71" s="18" t="s">
        <v>754</v>
      </c>
      <c r="C71" s="19" t="s">
        <v>755</v>
      </c>
      <c r="D71" s="17" t="s">
        <v>748</v>
      </c>
      <c r="E71" s="21" t="n">
        <v>7</v>
      </c>
      <c r="F71" s="18" t="n">
        <v>7</v>
      </c>
      <c r="G71" s="18" t="n">
        <v>0</v>
      </c>
      <c r="H71" s="76" t="s">
        <v>520</v>
      </c>
      <c r="I71" s="76" t="s">
        <v>521</v>
      </c>
      <c r="J71" s="77"/>
      <c r="K71" s="77"/>
    </row>
    <row r="72" customFormat="false" ht="18" hidden="false" customHeight="true" outlineLevel="0" collapsed="false">
      <c r="A72" s="73" t="s">
        <v>516</v>
      </c>
      <c r="B72" s="11" t="s">
        <v>369</v>
      </c>
      <c r="C72" s="12" t="s">
        <v>756</v>
      </c>
      <c r="D72" s="10" t="s">
        <v>748</v>
      </c>
      <c r="E72" s="15" t="n">
        <v>8</v>
      </c>
      <c r="F72" s="11" t="n">
        <v>7</v>
      </c>
      <c r="G72" s="11" t="n">
        <v>1</v>
      </c>
      <c r="H72" s="78" t="s">
        <v>529</v>
      </c>
      <c r="I72" s="79" t="s">
        <v>530</v>
      </c>
      <c r="J72" s="75"/>
      <c r="K72" s="75"/>
    </row>
    <row r="73" customFormat="false" ht="18" hidden="false" customHeight="true" outlineLevel="0" collapsed="false">
      <c r="A73" s="73" t="s">
        <v>516</v>
      </c>
      <c r="B73" s="18" t="s">
        <v>757</v>
      </c>
      <c r="C73" s="19" t="s">
        <v>758</v>
      </c>
      <c r="D73" s="17" t="s">
        <v>748</v>
      </c>
      <c r="E73" s="21" t="n">
        <v>6</v>
      </c>
      <c r="F73" s="18" t="n">
        <v>6</v>
      </c>
      <c r="G73" s="18" t="n">
        <v>0</v>
      </c>
      <c r="H73" s="76" t="s">
        <v>520</v>
      </c>
      <c r="I73" s="76" t="s">
        <v>521</v>
      </c>
      <c r="J73" s="77"/>
      <c r="K73" s="77"/>
    </row>
    <row r="74" customFormat="false" ht="18" hidden="false" customHeight="true" outlineLevel="0" collapsed="false">
      <c r="A74" s="73" t="s">
        <v>516</v>
      </c>
      <c r="B74" s="11" t="s">
        <v>759</v>
      </c>
      <c r="C74" s="12" t="s">
        <v>760</v>
      </c>
      <c r="D74" s="10" t="s">
        <v>748</v>
      </c>
      <c r="E74" s="15" t="n">
        <v>3</v>
      </c>
      <c r="F74" s="11" t="n">
        <v>3</v>
      </c>
      <c r="G74" s="11" t="n">
        <v>0</v>
      </c>
      <c r="H74" s="74" t="s">
        <v>520</v>
      </c>
      <c r="I74" s="74" t="s">
        <v>521</v>
      </c>
      <c r="J74" s="75"/>
      <c r="K74" s="75"/>
    </row>
    <row r="75" customFormat="false" ht="12.75" hidden="false" customHeight="true" outlineLevel="0" collapsed="false">
      <c r="A75" s="72" t="s">
        <v>761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</row>
    <row r="76" customFormat="false" ht="18" hidden="false" customHeight="true" outlineLevel="0" collapsed="false">
      <c r="A76" s="73" t="s">
        <v>516</v>
      </c>
      <c r="B76" s="11" t="s">
        <v>762</v>
      </c>
      <c r="C76" s="12" t="s">
        <v>763</v>
      </c>
      <c r="D76" s="10" t="s">
        <v>764</v>
      </c>
      <c r="E76" s="15" t="n">
        <v>3</v>
      </c>
      <c r="F76" s="11" t="n">
        <v>3</v>
      </c>
      <c r="G76" s="11" t="n">
        <v>0</v>
      </c>
      <c r="H76" s="74" t="s">
        <v>520</v>
      </c>
      <c r="I76" s="74" t="s">
        <v>521</v>
      </c>
      <c r="J76" s="75"/>
      <c r="K76" s="75"/>
    </row>
    <row r="77" customFormat="false" ht="18" hidden="false" customHeight="true" outlineLevel="0" collapsed="false">
      <c r="A77" s="73" t="s">
        <v>516</v>
      </c>
      <c r="B77" s="18" t="s">
        <v>447</v>
      </c>
      <c r="C77" s="19" t="s">
        <v>765</v>
      </c>
      <c r="D77" s="17" t="s">
        <v>764</v>
      </c>
      <c r="E77" s="21" t="n">
        <v>6</v>
      </c>
      <c r="F77" s="18" t="n">
        <v>4</v>
      </c>
      <c r="G77" s="18" t="n">
        <v>2</v>
      </c>
      <c r="H77" s="80" t="s">
        <v>532</v>
      </c>
      <c r="I77" s="81" t="s">
        <v>533</v>
      </c>
      <c r="J77" s="77"/>
      <c r="K77" s="77"/>
    </row>
    <row r="78" customFormat="false" ht="18" hidden="false" customHeight="true" outlineLevel="0" collapsed="false">
      <c r="A78" s="73" t="s">
        <v>516</v>
      </c>
      <c r="B78" s="11" t="s">
        <v>766</v>
      </c>
      <c r="C78" s="12" t="s">
        <v>767</v>
      </c>
      <c r="D78" s="10" t="s">
        <v>764</v>
      </c>
      <c r="E78" s="15" t="n">
        <v>6</v>
      </c>
      <c r="F78" s="11" t="n">
        <v>6</v>
      </c>
      <c r="G78" s="11" t="n">
        <v>0</v>
      </c>
      <c r="H78" s="74" t="s">
        <v>520</v>
      </c>
      <c r="I78" s="74" t="s">
        <v>521</v>
      </c>
      <c r="J78" s="75"/>
      <c r="K78" s="75"/>
    </row>
    <row r="79" customFormat="false" ht="18" hidden="false" customHeight="true" outlineLevel="0" collapsed="false">
      <c r="A79" s="73" t="s">
        <v>516</v>
      </c>
      <c r="B79" s="18" t="s">
        <v>768</v>
      </c>
      <c r="C79" s="19" t="s">
        <v>769</v>
      </c>
      <c r="D79" s="17" t="s">
        <v>764</v>
      </c>
      <c r="E79" s="21" t="n">
        <v>4</v>
      </c>
      <c r="F79" s="18" t="n">
        <v>4</v>
      </c>
      <c r="G79" s="18" t="n">
        <v>0</v>
      </c>
      <c r="H79" s="76" t="s">
        <v>520</v>
      </c>
      <c r="I79" s="76" t="s">
        <v>521</v>
      </c>
      <c r="J79" s="77"/>
      <c r="K79" s="77"/>
    </row>
    <row r="80" customFormat="false" ht="18" hidden="false" customHeight="true" outlineLevel="0" collapsed="false">
      <c r="A80" s="73" t="s">
        <v>516</v>
      </c>
      <c r="B80" s="11" t="s">
        <v>770</v>
      </c>
      <c r="C80" s="12" t="s">
        <v>771</v>
      </c>
      <c r="D80" s="10" t="s">
        <v>764</v>
      </c>
      <c r="E80" s="15" t="n">
        <v>5</v>
      </c>
      <c r="F80" s="11" t="n">
        <v>5</v>
      </c>
      <c r="G80" s="11" t="n">
        <v>0</v>
      </c>
      <c r="H80" s="74" t="s">
        <v>520</v>
      </c>
      <c r="I80" s="74" t="s">
        <v>521</v>
      </c>
      <c r="J80" s="75"/>
      <c r="K80" s="75"/>
    </row>
    <row r="81" customFormat="false" ht="18" hidden="false" customHeight="true" outlineLevel="0" collapsed="false">
      <c r="A81" s="73" t="s">
        <v>516</v>
      </c>
      <c r="B81" s="18" t="s">
        <v>772</v>
      </c>
      <c r="C81" s="19" t="s">
        <v>773</v>
      </c>
      <c r="D81" s="17" t="s">
        <v>764</v>
      </c>
      <c r="E81" s="21" t="n">
        <v>5</v>
      </c>
      <c r="F81" s="18" t="n">
        <v>5</v>
      </c>
      <c r="G81" s="18" t="n">
        <v>0</v>
      </c>
      <c r="H81" s="76" t="s">
        <v>520</v>
      </c>
      <c r="I81" s="76" t="s">
        <v>521</v>
      </c>
      <c r="J81" s="77"/>
      <c r="K81" s="77"/>
    </row>
    <row r="82" customFormat="false" ht="18" hidden="false" customHeight="true" outlineLevel="0" collapsed="false">
      <c r="A82" s="73" t="s">
        <v>516</v>
      </c>
      <c r="B82" s="11" t="s">
        <v>774</v>
      </c>
      <c r="C82" s="12" t="s">
        <v>775</v>
      </c>
      <c r="D82" s="10" t="s">
        <v>764</v>
      </c>
      <c r="E82" s="15" t="n">
        <v>4</v>
      </c>
      <c r="F82" s="11" t="n">
        <v>4</v>
      </c>
      <c r="G82" s="11" t="n">
        <v>0</v>
      </c>
      <c r="H82" s="74" t="s">
        <v>520</v>
      </c>
      <c r="I82" s="74" t="s">
        <v>521</v>
      </c>
      <c r="J82" s="75"/>
      <c r="K82" s="75"/>
    </row>
    <row r="83" customFormat="false" ht="18" hidden="false" customHeight="true" outlineLevel="0" collapsed="false">
      <c r="A83" s="73" t="s">
        <v>516</v>
      </c>
      <c r="B83" s="18" t="s">
        <v>776</v>
      </c>
      <c r="C83" s="19" t="s">
        <v>777</v>
      </c>
      <c r="D83" s="17" t="s">
        <v>764</v>
      </c>
      <c r="E83" s="21" t="n">
        <v>2</v>
      </c>
      <c r="F83" s="18" t="n">
        <v>2</v>
      </c>
      <c r="G83" s="18" t="n">
        <v>0</v>
      </c>
      <c r="H83" s="76" t="s">
        <v>520</v>
      </c>
      <c r="I83" s="76" t="s">
        <v>521</v>
      </c>
      <c r="J83" s="77"/>
      <c r="K83" s="77"/>
    </row>
    <row r="84" customFormat="false" ht="18" hidden="false" customHeight="true" outlineLevel="0" collapsed="false">
      <c r="A84" s="73" t="s">
        <v>516</v>
      </c>
      <c r="B84" s="11" t="s">
        <v>438</v>
      </c>
      <c r="C84" s="12" t="s">
        <v>778</v>
      </c>
      <c r="D84" s="10" t="s">
        <v>764</v>
      </c>
      <c r="E84" s="15" t="n">
        <v>3</v>
      </c>
      <c r="F84" s="11" t="n">
        <v>2</v>
      </c>
      <c r="G84" s="11" t="n">
        <v>1</v>
      </c>
      <c r="H84" s="78" t="s">
        <v>529</v>
      </c>
      <c r="I84" s="79" t="s">
        <v>530</v>
      </c>
      <c r="J84" s="75"/>
      <c r="K84" s="75"/>
    </row>
    <row r="85" customFormat="false" ht="18" hidden="false" customHeight="true" outlineLevel="0" collapsed="false">
      <c r="A85" s="73" t="s">
        <v>516</v>
      </c>
      <c r="B85" s="18" t="s">
        <v>779</v>
      </c>
      <c r="C85" s="19" t="s">
        <v>780</v>
      </c>
      <c r="D85" s="17" t="s">
        <v>764</v>
      </c>
      <c r="E85" s="21" t="n">
        <v>3</v>
      </c>
      <c r="F85" s="18" t="n">
        <v>3</v>
      </c>
      <c r="G85" s="18" t="n">
        <v>0</v>
      </c>
      <c r="H85" s="76" t="s">
        <v>520</v>
      </c>
      <c r="I85" s="76" t="s">
        <v>521</v>
      </c>
      <c r="J85" s="77"/>
      <c r="K85" s="77"/>
    </row>
    <row r="86" customFormat="false" ht="18" hidden="false" customHeight="true" outlineLevel="0" collapsed="false">
      <c r="A86" s="73" t="s">
        <v>516</v>
      </c>
      <c r="B86" s="11" t="s">
        <v>781</v>
      </c>
      <c r="C86" s="12" t="s">
        <v>782</v>
      </c>
      <c r="D86" s="10" t="s">
        <v>764</v>
      </c>
      <c r="E86" s="15" t="n">
        <v>6</v>
      </c>
      <c r="F86" s="11" t="n">
        <v>6</v>
      </c>
      <c r="G86" s="11" t="n">
        <v>0</v>
      </c>
      <c r="H86" s="74" t="s">
        <v>520</v>
      </c>
      <c r="I86" s="74" t="s">
        <v>521</v>
      </c>
      <c r="J86" s="75"/>
      <c r="K86" s="75"/>
    </row>
    <row r="87" customFormat="false" ht="18" hidden="false" customHeight="true" outlineLevel="0" collapsed="false">
      <c r="A87" s="73" t="s">
        <v>516</v>
      </c>
      <c r="B87" s="18" t="s">
        <v>783</v>
      </c>
      <c r="C87" s="19" t="s">
        <v>784</v>
      </c>
      <c r="D87" s="17" t="s">
        <v>764</v>
      </c>
      <c r="E87" s="21" t="n">
        <v>2</v>
      </c>
      <c r="F87" s="18" t="n">
        <v>2</v>
      </c>
      <c r="G87" s="18" t="n">
        <v>0</v>
      </c>
      <c r="H87" s="76" t="s">
        <v>520</v>
      </c>
      <c r="I87" s="76" t="s">
        <v>521</v>
      </c>
      <c r="J87" s="77"/>
      <c r="K87" s="77"/>
    </row>
    <row r="88" customFormat="false" ht="12.75" hidden="false" customHeight="true" outlineLevel="0" collapsed="false">
      <c r="A88" s="72" t="s">
        <v>785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customFormat="false" ht="18" hidden="false" customHeight="true" outlineLevel="0" collapsed="false">
      <c r="A89" s="73" t="s">
        <v>516</v>
      </c>
      <c r="B89" s="18" t="s">
        <v>393</v>
      </c>
      <c r="C89" s="19" t="s">
        <v>786</v>
      </c>
      <c r="D89" s="17" t="s">
        <v>787</v>
      </c>
      <c r="E89" s="21" t="n">
        <v>11</v>
      </c>
      <c r="F89" s="18" t="n">
        <v>8</v>
      </c>
      <c r="G89" s="18" t="n">
        <v>3</v>
      </c>
      <c r="H89" s="80" t="s">
        <v>580</v>
      </c>
      <c r="I89" s="81" t="s">
        <v>581</v>
      </c>
      <c r="J89" s="77"/>
      <c r="K89" s="77"/>
    </row>
    <row r="90" customFormat="false" ht="18" hidden="false" customHeight="true" outlineLevel="0" collapsed="false">
      <c r="A90" s="73" t="s">
        <v>516</v>
      </c>
      <c r="B90" s="11" t="s">
        <v>384</v>
      </c>
      <c r="C90" s="12" t="s">
        <v>788</v>
      </c>
      <c r="D90" s="10" t="s">
        <v>787</v>
      </c>
      <c r="E90" s="15" t="n">
        <v>8</v>
      </c>
      <c r="F90" s="11" t="n">
        <v>7</v>
      </c>
      <c r="G90" s="11" t="n">
        <v>1</v>
      </c>
      <c r="H90" s="78" t="s">
        <v>529</v>
      </c>
      <c r="I90" s="79" t="s">
        <v>530</v>
      </c>
      <c r="J90" s="75"/>
      <c r="K90" s="75"/>
    </row>
    <row r="91" customFormat="false" ht="18" hidden="false" customHeight="true" outlineLevel="0" collapsed="false">
      <c r="A91" s="73" t="s">
        <v>516</v>
      </c>
      <c r="B91" s="18" t="s">
        <v>789</v>
      </c>
      <c r="C91" s="19" t="s">
        <v>790</v>
      </c>
      <c r="D91" s="17" t="s">
        <v>787</v>
      </c>
      <c r="E91" s="21" t="n">
        <v>4</v>
      </c>
      <c r="F91" s="18" t="n">
        <v>4</v>
      </c>
      <c r="G91" s="18" t="n">
        <v>0</v>
      </c>
      <c r="H91" s="76" t="s">
        <v>520</v>
      </c>
      <c r="I91" s="76" t="s">
        <v>521</v>
      </c>
      <c r="J91" s="77"/>
      <c r="K91" s="77"/>
    </row>
  </sheetData>
  <mergeCells count="11">
    <mergeCell ref="A1:K1"/>
    <mergeCell ref="A2:K2"/>
    <mergeCell ref="A5:K5"/>
    <mergeCell ref="A13:K13"/>
    <mergeCell ref="A16:K16"/>
    <mergeCell ref="A52:K52"/>
    <mergeCell ref="A56:K56"/>
    <mergeCell ref="A61:K61"/>
    <mergeCell ref="A66:K66"/>
    <mergeCell ref="A75:K75"/>
    <mergeCell ref="A88:K88"/>
  </mergeCells>
  <conditionalFormatting sqref="A5:A92">
    <cfRule type="expression" priority="2" aboveAverage="0" equalAverage="0" bottom="0" percent="0" rank="0" text="" dxfId="0">
      <formula>$A5="ACTIVE"</formula>
    </cfRule>
    <cfRule type="expression" priority="3" aboveAverage="0" equalAverage="0" bottom="0" percent="0" rank="0" text="" dxfId="1">
      <formula>$A5="INACTIVE"</formula>
    </cfRule>
  </conditionalFormatting>
  <dataValidations count="1">
    <dataValidation allowBlank="false" errorStyle="stop" operator="between" showDropDown="false" showErrorMessage="false" showInputMessage="false" sqref="A6:A12 A14:A15 A17:A51 A53:A55 A57:A60 A62:A65 A67:A74 A76:A87 A89:A91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4A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5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6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27.75" hidden="false" customHeight="true" outlineLevel="0" collapsed="false">
      <c r="A1" s="68" t="s">
        <v>791</v>
      </c>
      <c r="B1" s="68"/>
      <c r="C1" s="68"/>
      <c r="D1" s="68"/>
      <c r="E1" s="68"/>
      <c r="F1" s="68"/>
      <c r="G1" s="68"/>
      <c r="H1" s="68"/>
    </row>
    <row r="2" customFormat="false" ht="15" hidden="false" customHeight="true" outlineLevel="0" collapsed="false">
      <c r="A2" s="3" t="s">
        <v>639</v>
      </c>
      <c r="B2" s="3"/>
      <c r="C2" s="3"/>
      <c r="D2" s="3"/>
      <c r="E2" s="3"/>
      <c r="F2" s="3"/>
      <c r="G2" s="3"/>
      <c r="H2" s="3"/>
    </row>
    <row r="3" customFormat="false" ht="3.75" hidden="false" customHeight="true" outlineLevel="0" collapsed="false"/>
    <row r="4" customFormat="false" ht="27.75" hidden="false" customHeight="true" outlineLevel="0" collapsed="false">
      <c r="A4" s="69" t="s">
        <v>504</v>
      </c>
      <c r="B4" s="69" t="s">
        <v>3</v>
      </c>
      <c r="C4" s="69" t="s">
        <v>4</v>
      </c>
      <c r="D4" s="69" t="s">
        <v>288</v>
      </c>
      <c r="E4" s="69" t="s">
        <v>5</v>
      </c>
      <c r="F4" s="69" t="s">
        <v>513</v>
      </c>
      <c r="G4" s="69" t="s">
        <v>514</v>
      </c>
      <c r="H4" s="69"/>
    </row>
    <row r="5" customFormat="false" ht="12.75" hidden="false" customHeight="true" outlineLevel="0" collapsed="false">
      <c r="A5" s="72" t="s">
        <v>641</v>
      </c>
      <c r="B5" s="72"/>
      <c r="C5" s="72"/>
      <c r="D5" s="72"/>
      <c r="E5" s="72"/>
      <c r="F5" s="72"/>
      <c r="G5" s="72"/>
      <c r="H5" s="72"/>
    </row>
    <row r="6" customFormat="false" ht="15.75" hidden="false" customHeight="true" outlineLevel="0" collapsed="false">
      <c r="A6" s="73" t="s">
        <v>516</v>
      </c>
      <c r="B6" s="11" t="s">
        <v>459</v>
      </c>
      <c r="C6" s="12" t="s">
        <v>460</v>
      </c>
      <c r="D6" s="10" t="s">
        <v>301</v>
      </c>
      <c r="E6" s="13" t="s">
        <v>461</v>
      </c>
      <c r="F6" s="82"/>
      <c r="G6" s="82"/>
      <c r="H6" s="82"/>
    </row>
    <row r="7" customFormat="false" ht="15.75" hidden="false" customHeight="true" outlineLevel="0" collapsed="false">
      <c r="A7" s="73" t="s">
        <v>516</v>
      </c>
      <c r="B7" s="18" t="s">
        <v>462</v>
      </c>
      <c r="C7" s="19" t="s">
        <v>463</v>
      </c>
      <c r="D7" s="17" t="s">
        <v>301</v>
      </c>
      <c r="E7" s="20" t="s">
        <v>461</v>
      </c>
      <c r="F7" s="83"/>
      <c r="G7" s="83"/>
      <c r="H7" s="83"/>
    </row>
    <row r="8" customFormat="false" ht="15.75" hidden="false" customHeight="true" outlineLevel="0" collapsed="false">
      <c r="A8" s="73" t="s">
        <v>516</v>
      </c>
      <c r="B8" s="11" t="s">
        <v>464</v>
      </c>
      <c r="C8" s="12" t="s">
        <v>465</v>
      </c>
      <c r="D8" s="10" t="s">
        <v>301</v>
      </c>
      <c r="E8" s="13" t="s">
        <v>461</v>
      </c>
      <c r="F8" s="82"/>
      <c r="G8" s="82"/>
      <c r="H8" s="82"/>
    </row>
    <row r="9" customFormat="false" ht="15.75" hidden="false" customHeight="true" outlineLevel="0" collapsed="false">
      <c r="A9" s="73" t="s">
        <v>516</v>
      </c>
      <c r="B9" s="18" t="s">
        <v>466</v>
      </c>
      <c r="C9" s="19" t="s">
        <v>467</v>
      </c>
      <c r="D9" s="17" t="s">
        <v>301</v>
      </c>
      <c r="E9" s="20" t="s">
        <v>461</v>
      </c>
      <c r="F9" s="83"/>
      <c r="G9" s="83"/>
      <c r="H9" s="83"/>
    </row>
    <row r="10" customFormat="false" ht="15.75" hidden="false" customHeight="true" outlineLevel="0" collapsed="false">
      <c r="A10" s="73" t="s">
        <v>516</v>
      </c>
      <c r="B10" s="11" t="s">
        <v>468</v>
      </c>
      <c r="C10" s="12" t="s">
        <v>469</v>
      </c>
      <c r="D10" s="10" t="s">
        <v>301</v>
      </c>
      <c r="E10" s="13" t="s">
        <v>461</v>
      </c>
      <c r="F10" s="82"/>
      <c r="G10" s="82"/>
      <c r="H10" s="82"/>
    </row>
    <row r="11" customFormat="false" ht="15.75" hidden="false" customHeight="true" outlineLevel="0" collapsed="false">
      <c r="A11" s="73" t="s">
        <v>516</v>
      </c>
      <c r="B11" s="18" t="s">
        <v>470</v>
      </c>
      <c r="C11" s="19" t="s">
        <v>471</v>
      </c>
      <c r="D11" s="17" t="s">
        <v>301</v>
      </c>
      <c r="E11" s="20" t="s">
        <v>461</v>
      </c>
      <c r="F11" s="83"/>
      <c r="G11" s="83"/>
      <c r="H11" s="83"/>
    </row>
    <row r="12" customFormat="false" ht="15.75" hidden="false" customHeight="true" outlineLevel="0" collapsed="false">
      <c r="A12" s="73" t="s">
        <v>516</v>
      </c>
      <c r="B12" s="11" t="s">
        <v>472</v>
      </c>
      <c r="C12" s="12" t="s">
        <v>473</v>
      </c>
      <c r="D12" s="10" t="s">
        <v>301</v>
      </c>
      <c r="E12" s="13" t="s">
        <v>461</v>
      </c>
      <c r="F12" s="82"/>
      <c r="G12" s="82"/>
      <c r="H12" s="82"/>
    </row>
    <row r="13" customFormat="false" ht="15.75" hidden="false" customHeight="true" outlineLevel="0" collapsed="false">
      <c r="A13" s="73" t="s">
        <v>516</v>
      </c>
      <c r="B13" s="18" t="s">
        <v>474</v>
      </c>
      <c r="C13" s="19" t="s">
        <v>475</v>
      </c>
      <c r="D13" s="17" t="s">
        <v>301</v>
      </c>
      <c r="E13" s="20" t="s">
        <v>461</v>
      </c>
      <c r="F13" s="83"/>
      <c r="G13" s="83"/>
      <c r="H13" s="83"/>
    </row>
    <row r="14" customFormat="false" ht="15.75" hidden="false" customHeight="true" outlineLevel="0" collapsed="false">
      <c r="A14" s="73" t="s">
        <v>516</v>
      </c>
      <c r="B14" s="11" t="s">
        <v>476</v>
      </c>
      <c r="C14" s="12" t="s">
        <v>477</v>
      </c>
      <c r="D14" s="10" t="s">
        <v>301</v>
      </c>
      <c r="E14" s="13" t="s">
        <v>461</v>
      </c>
      <c r="F14" s="82"/>
      <c r="G14" s="82"/>
      <c r="H14" s="82"/>
    </row>
    <row r="15" customFormat="false" ht="15.75" hidden="false" customHeight="true" outlineLevel="0" collapsed="false">
      <c r="A15" s="73" t="s">
        <v>516</v>
      </c>
      <c r="B15" s="18" t="s">
        <v>478</v>
      </c>
      <c r="C15" s="19" t="s">
        <v>479</v>
      </c>
      <c r="D15" s="17" t="s">
        <v>301</v>
      </c>
      <c r="E15" s="20" t="s">
        <v>461</v>
      </c>
      <c r="F15" s="83"/>
      <c r="G15" s="83"/>
      <c r="H15" s="83"/>
    </row>
    <row r="16" customFormat="false" ht="15.75" hidden="false" customHeight="true" outlineLevel="0" collapsed="false">
      <c r="A16" s="73" t="s">
        <v>516</v>
      </c>
      <c r="B16" s="11" t="s">
        <v>480</v>
      </c>
      <c r="C16" s="12" t="s">
        <v>481</v>
      </c>
      <c r="D16" s="10" t="s">
        <v>301</v>
      </c>
      <c r="E16" s="13" t="s">
        <v>461</v>
      </c>
      <c r="F16" s="82"/>
      <c r="G16" s="82"/>
      <c r="H16" s="82"/>
    </row>
    <row r="17" customFormat="false" ht="15.75" hidden="false" customHeight="true" outlineLevel="0" collapsed="false">
      <c r="A17" s="73" t="s">
        <v>516</v>
      </c>
      <c r="B17" s="18" t="s">
        <v>482</v>
      </c>
      <c r="C17" s="19" t="s">
        <v>483</v>
      </c>
      <c r="D17" s="17" t="s">
        <v>301</v>
      </c>
      <c r="E17" s="20" t="s">
        <v>461</v>
      </c>
      <c r="F17" s="83"/>
      <c r="G17" s="83"/>
      <c r="H17" s="83"/>
    </row>
    <row r="18" customFormat="false" ht="15.75" hidden="false" customHeight="true" outlineLevel="0" collapsed="false">
      <c r="A18" s="73" t="s">
        <v>516</v>
      </c>
      <c r="B18" s="11" t="s">
        <v>484</v>
      </c>
      <c r="C18" s="12" t="s">
        <v>485</v>
      </c>
      <c r="D18" s="10" t="s">
        <v>301</v>
      </c>
      <c r="E18" s="13" t="s">
        <v>461</v>
      </c>
      <c r="F18" s="82"/>
      <c r="G18" s="82"/>
      <c r="H18" s="82"/>
    </row>
    <row r="19" customFormat="false" ht="15.75" hidden="false" customHeight="true" outlineLevel="0" collapsed="false">
      <c r="A19" s="73" t="s">
        <v>516</v>
      </c>
      <c r="B19" s="18" t="s">
        <v>486</v>
      </c>
      <c r="C19" s="19" t="s">
        <v>487</v>
      </c>
      <c r="D19" s="17" t="s">
        <v>301</v>
      </c>
      <c r="E19" s="20" t="s">
        <v>461</v>
      </c>
      <c r="F19" s="83"/>
      <c r="G19" s="83"/>
      <c r="H19" s="83"/>
    </row>
    <row r="20" customFormat="false" ht="15.75" hidden="false" customHeight="true" outlineLevel="0" collapsed="false">
      <c r="A20" s="73" t="s">
        <v>516</v>
      </c>
      <c r="B20" s="11" t="s">
        <v>488</v>
      </c>
      <c r="C20" s="12" t="s">
        <v>489</v>
      </c>
      <c r="D20" s="10" t="s">
        <v>301</v>
      </c>
      <c r="E20" s="13" t="s">
        <v>461</v>
      </c>
      <c r="F20" s="82"/>
      <c r="G20" s="82"/>
      <c r="H20" s="82"/>
    </row>
    <row r="21" customFormat="false" ht="15.75" hidden="false" customHeight="true" outlineLevel="0" collapsed="false">
      <c r="A21" s="73" t="s">
        <v>516</v>
      </c>
      <c r="B21" s="18" t="s">
        <v>490</v>
      </c>
      <c r="C21" s="19" t="s">
        <v>491</v>
      </c>
      <c r="D21" s="17" t="s">
        <v>301</v>
      </c>
      <c r="E21" s="20" t="s">
        <v>461</v>
      </c>
      <c r="F21" s="83"/>
      <c r="G21" s="83"/>
      <c r="H21" s="83"/>
    </row>
    <row r="22" customFormat="false" ht="15.75" hidden="false" customHeight="true" outlineLevel="0" collapsed="false">
      <c r="A22" s="73" t="s">
        <v>516</v>
      </c>
      <c r="B22" s="11" t="s">
        <v>492</v>
      </c>
      <c r="C22" s="12" t="s">
        <v>493</v>
      </c>
      <c r="D22" s="10" t="s">
        <v>301</v>
      </c>
      <c r="E22" s="13" t="s">
        <v>461</v>
      </c>
      <c r="F22" s="82"/>
      <c r="G22" s="82"/>
      <c r="H22" s="82"/>
    </row>
    <row r="23" customFormat="false" ht="15.75" hidden="false" customHeight="true" outlineLevel="0" collapsed="false">
      <c r="A23" s="73" t="s">
        <v>516</v>
      </c>
      <c r="B23" s="18" t="s">
        <v>494</v>
      </c>
      <c r="C23" s="19" t="s">
        <v>495</v>
      </c>
      <c r="D23" s="17" t="s">
        <v>301</v>
      </c>
      <c r="E23" s="20" t="s">
        <v>461</v>
      </c>
      <c r="F23" s="83"/>
      <c r="G23" s="83"/>
      <c r="H23" s="83"/>
    </row>
    <row r="24" customFormat="false" ht="15.75" hidden="false" customHeight="true" outlineLevel="0" collapsed="false">
      <c r="A24" s="73" t="s">
        <v>516</v>
      </c>
      <c r="B24" s="11" t="s">
        <v>496</v>
      </c>
      <c r="C24" s="12" t="s">
        <v>497</v>
      </c>
      <c r="D24" s="10" t="s">
        <v>301</v>
      </c>
      <c r="E24" s="13" t="s">
        <v>461</v>
      </c>
      <c r="F24" s="82"/>
      <c r="G24" s="82"/>
      <c r="H24" s="82"/>
    </row>
    <row r="25" customFormat="false" ht="15.75" hidden="false" customHeight="true" outlineLevel="0" collapsed="false">
      <c r="A25" s="73" t="s">
        <v>516</v>
      </c>
      <c r="B25" s="18" t="s">
        <v>498</v>
      </c>
      <c r="C25" s="19" t="s">
        <v>499</v>
      </c>
      <c r="D25" s="17" t="s">
        <v>301</v>
      </c>
      <c r="E25" s="20" t="s">
        <v>461</v>
      </c>
      <c r="F25" s="83"/>
      <c r="G25" s="83"/>
      <c r="H25" s="83"/>
    </row>
    <row r="26" customFormat="false" ht="15.75" hidden="false" customHeight="true" outlineLevel="0" collapsed="false">
      <c r="A26" s="73" t="s">
        <v>516</v>
      </c>
      <c r="B26" s="11" t="s">
        <v>500</v>
      </c>
      <c r="C26" s="12" t="s">
        <v>501</v>
      </c>
      <c r="D26" s="10" t="s">
        <v>301</v>
      </c>
      <c r="E26" s="13" t="s">
        <v>461</v>
      </c>
      <c r="F26" s="82"/>
      <c r="G26" s="82"/>
      <c r="H26" s="82"/>
    </row>
  </sheetData>
  <mergeCells count="3">
    <mergeCell ref="A1:H1"/>
    <mergeCell ref="A2:H2"/>
    <mergeCell ref="A5:H5"/>
  </mergeCells>
  <conditionalFormatting sqref="A5:A27">
    <cfRule type="expression" priority="2" aboveAverage="0" equalAverage="0" bottom="0" percent="0" rank="0" text="" dxfId="0">
      <formula>$A5="ACTIVE"</formula>
    </cfRule>
    <cfRule type="expression" priority="3" aboveAverage="0" equalAverage="0" bottom="0" percent="0" rank="0" text="" dxfId="1">
      <formula>$A5="INACTIVE"</formula>
    </cfRule>
  </conditionalFormatting>
  <dataValidations count="1">
    <dataValidation allowBlank="false" errorStyle="stop" operator="between" showDropDown="false" showErrorMessage="false" showInputMessage="false" sqref="A6:A26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M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175" activeCellId="0" sqref="H17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8" min="7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84" t="s">
        <v>792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customFormat="false" ht="15" hidden="false" customHeight="true" outlineLevel="0" collapsed="false">
      <c r="A2" s="3" t="s">
        <v>793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85" t="s">
        <v>3</v>
      </c>
      <c r="B3" s="85" t="s">
        <v>794</v>
      </c>
      <c r="C3" s="85" t="s">
        <v>2</v>
      </c>
      <c r="D3" s="85" t="s">
        <v>6</v>
      </c>
      <c r="E3" s="85" t="s">
        <v>795</v>
      </c>
      <c r="F3" s="85" t="s">
        <v>796</v>
      </c>
      <c r="G3" s="85" t="s">
        <v>797</v>
      </c>
      <c r="H3" s="85" t="s">
        <v>798</v>
      </c>
      <c r="I3" s="85" t="s">
        <v>799</v>
      </c>
    </row>
    <row r="4" customFormat="false" ht="15" hidden="false" customHeight="true" outlineLevel="0" collapsed="false">
      <c r="A4" s="18" t="s">
        <v>800</v>
      </c>
      <c r="B4" s="19" t="s">
        <v>801</v>
      </c>
      <c r="C4" s="83" t="s">
        <v>802</v>
      </c>
      <c r="D4" s="77" t="s">
        <v>803</v>
      </c>
      <c r="E4" s="20" t="s">
        <v>804</v>
      </c>
      <c r="F4" s="18" t="s">
        <v>805</v>
      </c>
      <c r="G4" s="86" t="s">
        <v>806</v>
      </c>
      <c r="H4" s="21" t="n">
        <v>2</v>
      </c>
      <c r="I4" s="73" t="s">
        <v>806</v>
      </c>
    </row>
    <row r="5" customFormat="false" ht="15" hidden="false" customHeight="true" outlineLevel="0" collapsed="false">
      <c r="A5" s="11" t="s">
        <v>102</v>
      </c>
      <c r="B5" s="12" t="s">
        <v>807</v>
      </c>
      <c r="C5" s="82" t="s">
        <v>98</v>
      </c>
      <c r="D5" s="75" t="s">
        <v>808</v>
      </c>
      <c r="E5" s="13" t="s">
        <v>809</v>
      </c>
      <c r="F5" s="87" t="s">
        <v>806</v>
      </c>
      <c r="G5" s="11" t="s">
        <v>805</v>
      </c>
      <c r="H5" s="15" t="n">
        <v>1</v>
      </c>
      <c r="I5" s="73" t="s">
        <v>806</v>
      </c>
    </row>
    <row r="6" customFormat="false" ht="15" hidden="false" customHeight="true" outlineLevel="0" collapsed="false">
      <c r="A6" s="18" t="s">
        <v>103</v>
      </c>
      <c r="B6" s="19" t="s">
        <v>810</v>
      </c>
      <c r="C6" s="83" t="s">
        <v>98</v>
      </c>
      <c r="D6" s="77" t="s">
        <v>808</v>
      </c>
      <c r="E6" s="20" t="s">
        <v>809</v>
      </c>
      <c r="F6" s="88" t="s">
        <v>806</v>
      </c>
      <c r="G6" s="86" t="s">
        <v>806</v>
      </c>
      <c r="H6" s="21" t="n">
        <v>12</v>
      </c>
      <c r="I6" s="73" t="s">
        <v>806</v>
      </c>
    </row>
    <row r="7" customFormat="false" ht="15" hidden="false" customHeight="true" outlineLevel="0" collapsed="false">
      <c r="A7" s="11" t="s">
        <v>105</v>
      </c>
      <c r="B7" s="12" t="s">
        <v>811</v>
      </c>
      <c r="C7" s="82" t="s">
        <v>98</v>
      </c>
      <c r="D7" s="75" t="s">
        <v>808</v>
      </c>
      <c r="E7" s="13" t="s">
        <v>809</v>
      </c>
      <c r="F7" s="87" t="s">
        <v>806</v>
      </c>
      <c r="G7" s="89" t="s">
        <v>806</v>
      </c>
      <c r="H7" s="15" t="n">
        <v>1</v>
      </c>
      <c r="I7" s="73" t="s">
        <v>806</v>
      </c>
    </row>
    <row r="8" customFormat="false" ht="15" hidden="false" customHeight="true" outlineLevel="0" collapsed="false">
      <c r="A8" s="18" t="s">
        <v>107</v>
      </c>
      <c r="B8" s="19" t="s">
        <v>812</v>
      </c>
      <c r="C8" s="83" t="s">
        <v>98</v>
      </c>
      <c r="D8" s="77" t="s">
        <v>808</v>
      </c>
      <c r="E8" s="20" t="s">
        <v>809</v>
      </c>
      <c r="F8" s="88" t="s">
        <v>806</v>
      </c>
      <c r="G8" s="18" t="s">
        <v>805</v>
      </c>
      <c r="H8" s="21" t="n">
        <v>1</v>
      </c>
      <c r="I8" s="73" t="s">
        <v>806</v>
      </c>
    </row>
    <row r="9" customFormat="false" ht="15" hidden="false" customHeight="true" outlineLevel="0" collapsed="false">
      <c r="A9" s="11" t="s">
        <v>108</v>
      </c>
      <c r="B9" s="12" t="s">
        <v>813</v>
      </c>
      <c r="C9" s="82" t="s">
        <v>98</v>
      </c>
      <c r="D9" s="75" t="s">
        <v>814</v>
      </c>
      <c r="E9" s="13" t="s">
        <v>804</v>
      </c>
      <c r="F9" s="87" t="s">
        <v>806</v>
      </c>
      <c r="G9" s="11" t="s">
        <v>805</v>
      </c>
      <c r="H9" s="15" t="n">
        <v>4</v>
      </c>
      <c r="I9" s="73" t="s">
        <v>806</v>
      </c>
    </row>
    <row r="10" customFormat="false" ht="15" hidden="false" customHeight="true" outlineLevel="0" collapsed="false">
      <c r="A10" s="18" t="s">
        <v>110</v>
      </c>
      <c r="B10" s="19" t="s">
        <v>815</v>
      </c>
      <c r="C10" s="83" t="s">
        <v>98</v>
      </c>
      <c r="D10" s="77" t="s">
        <v>814</v>
      </c>
      <c r="E10" s="20" t="s">
        <v>804</v>
      </c>
      <c r="F10" s="88" t="s">
        <v>806</v>
      </c>
      <c r="G10" s="18" t="s">
        <v>805</v>
      </c>
      <c r="H10" s="21" t="n">
        <v>1</v>
      </c>
      <c r="I10" s="73" t="s">
        <v>806</v>
      </c>
    </row>
    <row r="11" customFormat="false" ht="15" hidden="false" customHeight="true" outlineLevel="0" collapsed="false">
      <c r="A11" s="11" t="s">
        <v>112</v>
      </c>
      <c r="B11" s="12" t="s">
        <v>816</v>
      </c>
      <c r="C11" s="82" t="s">
        <v>98</v>
      </c>
      <c r="D11" s="75" t="s">
        <v>814</v>
      </c>
      <c r="E11" s="13" t="s">
        <v>804</v>
      </c>
      <c r="F11" s="87" t="s">
        <v>806</v>
      </c>
      <c r="G11" s="11" t="s">
        <v>805</v>
      </c>
      <c r="H11" s="15" t="n">
        <v>1</v>
      </c>
      <c r="I11" s="73" t="s">
        <v>806</v>
      </c>
    </row>
    <row r="12" customFormat="false" ht="15" hidden="false" customHeight="true" outlineLevel="0" collapsed="false">
      <c r="A12" s="18" t="s">
        <v>113</v>
      </c>
      <c r="B12" s="19" t="s">
        <v>817</v>
      </c>
      <c r="C12" s="83" t="s">
        <v>98</v>
      </c>
      <c r="D12" s="77" t="s">
        <v>814</v>
      </c>
      <c r="E12" s="20" t="s">
        <v>804</v>
      </c>
      <c r="F12" s="88" t="s">
        <v>806</v>
      </c>
      <c r="G12" s="18" t="s">
        <v>805</v>
      </c>
      <c r="H12" s="21" t="n">
        <v>1</v>
      </c>
      <c r="I12" s="73" t="s">
        <v>806</v>
      </c>
    </row>
    <row r="13" customFormat="false" ht="15" hidden="false" customHeight="true" outlineLevel="0" collapsed="false">
      <c r="A13" s="11" t="s">
        <v>114</v>
      </c>
      <c r="B13" s="12" t="s">
        <v>818</v>
      </c>
      <c r="C13" s="82" t="s">
        <v>98</v>
      </c>
      <c r="D13" s="75" t="s">
        <v>814</v>
      </c>
      <c r="E13" s="13" t="s">
        <v>804</v>
      </c>
      <c r="F13" s="87" t="s">
        <v>806</v>
      </c>
      <c r="G13" s="11" t="s">
        <v>805</v>
      </c>
      <c r="H13" s="15" t="n">
        <v>1</v>
      </c>
      <c r="I13" s="73" t="s">
        <v>806</v>
      </c>
    </row>
    <row r="14" customFormat="false" ht="15" hidden="false" customHeight="true" outlineLevel="0" collapsed="false">
      <c r="A14" s="18" t="s">
        <v>116</v>
      </c>
      <c r="B14" s="19" t="s">
        <v>819</v>
      </c>
      <c r="C14" s="83" t="s">
        <v>98</v>
      </c>
      <c r="D14" s="77" t="s">
        <v>814</v>
      </c>
      <c r="E14" s="20" t="s">
        <v>804</v>
      </c>
      <c r="F14" s="88" t="s">
        <v>806</v>
      </c>
      <c r="G14" s="18" t="s">
        <v>805</v>
      </c>
      <c r="H14" s="21" t="n">
        <v>1</v>
      </c>
      <c r="I14" s="73" t="s">
        <v>806</v>
      </c>
    </row>
    <row r="15" customFormat="false" ht="15" hidden="false" customHeight="true" outlineLevel="0" collapsed="false">
      <c r="A15" s="11" t="s">
        <v>117</v>
      </c>
      <c r="B15" s="12" t="s">
        <v>820</v>
      </c>
      <c r="C15" s="82" t="s">
        <v>98</v>
      </c>
      <c r="D15" s="75" t="s">
        <v>721</v>
      </c>
      <c r="E15" s="13" t="s">
        <v>809</v>
      </c>
      <c r="F15" s="87" t="s">
        <v>806</v>
      </c>
      <c r="G15" s="89" t="s">
        <v>806</v>
      </c>
      <c r="H15" s="15" t="n">
        <v>11</v>
      </c>
      <c r="I15" s="73" t="s">
        <v>806</v>
      </c>
    </row>
    <row r="16" customFormat="false" ht="15" hidden="false" customHeight="true" outlineLevel="0" collapsed="false">
      <c r="A16" s="18" t="s">
        <v>119</v>
      </c>
      <c r="B16" s="19" t="s">
        <v>821</v>
      </c>
      <c r="C16" s="83" t="s">
        <v>98</v>
      </c>
      <c r="D16" s="77" t="s">
        <v>721</v>
      </c>
      <c r="E16" s="20" t="s">
        <v>804</v>
      </c>
      <c r="F16" s="88" t="s">
        <v>806</v>
      </c>
      <c r="G16" s="18" t="s">
        <v>805</v>
      </c>
      <c r="H16" s="21" t="n">
        <v>1</v>
      </c>
      <c r="I16" s="73" t="s">
        <v>806</v>
      </c>
    </row>
    <row r="17" customFormat="false" ht="15" hidden="false" customHeight="true" outlineLevel="0" collapsed="false">
      <c r="A17" s="11" t="s">
        <v>400</v>
      </c>
      <c r="B17" s="12" t="s">
        <v>822</v>
      </c>
      <c r="C17" s="82" t="s">
        <v>98</v>
      </c>
      <c r="D17" s="75" t="s">
        <v>721</v>
      </c>
      <c r="E17" s="13" t="s">
        <v>809</v>
      </c>
      <c r="F17" s="11" t="s">
        <v>805</v>
      </c>
      <c r="G17" s="89" t="s">
        <v>806</v>
      </c>
      <c r="H17" s="15" t="n">
        <v>1</v>
      </c>
      <c r="I17" s="73" t="s">
        <v>806</v>
      </c>
    </row>
    <row r="18" customFormat="false" ht="15" hidden="false" customHeight="true" outlineLevel="0" collapsed="false">
      <c r="A18" s="11" t="s">
        <v>14</v>
      </c>
      <c r="B18" s="12" t="s">
        <v>823</v>
      </c>
      <c r="C18" s="82" t="s">
        <v>8</v>
      </c>
      <c r="D18" s="75" t="s">
        <v>814</v>
      </c>
      <c r="E18" s="13" t="s">
        <v>824</v>
      </c>
      <c r="F18" s="87" t="s">
        <v>806</v>
      </c>
      <c r="G18" s="89" t="s">
        <v>806</v>
      </c>
      <c r="H18" s="15" t="n">
        <v>1</v>
      </c>
      <c r="I18" s="73" t="s">
        <v>806</v>
      </c>
    </row>
    <row r="19" customFormat="false" ht="15" hidden="false" customHeight="true" outlineLevel="0" collapsed="false">
      <c r="A19" s="18" t="s">
        <v>17</v>
      </c>
      <c r="B19" s="19" t="s">
        <v>825</v>
      </c>
      <c r="C19" s="83" t="s">
        <v>8</v>
      </c>
      <c r="D19" s="77" t="s">
        <v>814</v>
      </c>
      <c r="E19" s="20" t="s">
        <v>804</v>
      </c>
      <c r="F19" s="88" t="s">
        <v>806</v>
      </c>
      <c r="G19" s="86" t="s">
        <v>806</v>
      </c>
      <c r="H19" s="21" t="n">
        <v>24</v>
      </c>
      <c r="I19" s="73" t="s">
        <v>806</v>
      </c>
    </row>
    <row r="20" customFormat="false" ht="15" hidden="false" customHeight="true" outlineLevel="0" collapsed="false">
      <c r="A20" s="11" t="s">
        <v>20</v>
      </c>
      <c r="B20" s="12" t="s">
        <v>826</v>
      </c>
      <c r="C20" s="82" t="s">
        <v>8</v>
      </c>
      <c r="D20" s="75" t="s">
        <v>721</v>
      </c>
      <c r="E20" s="13" t="s">
        <v>804</v>
      </c>
      <c r="F20" s="87" t="s">
        <v>806</v>
      </c>
      <c r="G20" s="89" t="s">
        <v>806</v>
      </c>
      <c r="H20" s="15" t="n">
        <v>4</v>
      </c>
      <c r="I20" s="73" t="s">
        <v>806</v>
      </c>
    </row>
    <row r="21" customFormat="false" ht="15" hidden="false" customHeight="true" outlineLevel="0" collapsed="false">
      <c r="A21" s="18" t="s">
        <v>22</v>
      </c>
      <c r="B21" s="19" t="s">
        <v>827</v>
      </c>
      <c r="C21" s="83" t="s">
        <v>8</v>
      </c>
      <c r="D21" s="77" t="s">
        <v>721</v>
      </c>
      <c r="E21" s="20" t="s">
        <v>804</v>
      </c>
      <c r="F21" s="88" t="s">
        <v>806</v>
      </c>
      <c r="G21" s="86" t="s">
        <v>806</v>
      </c>
      <c r="H21" s="21" t="n">
        <v>5</v>
      </c>
      <c r="I21" s="73" t="s">
        <v>806</v>
      </c>
    </row>
    <row r="22" customFormat="false" ht="15" hidden="false" customHeight="true" outlineLevel="0" collapsed="false">
      <c r="A22" s="11" t="s">
        <v>364</v>
      </c>
      <c r="B22" s="12" t="s">
        <v>828</v>
      </c>
      <c r="C22" s="82" t="s">
        <v>8</v>
      </c>
      <c r="D22" s="75" t="s">
        <v>721</v>
      </c>
      <c r="E22" s="13" t="s">
        <v>804</v>
      </c>
      <c r="F22" s="11" t="s">
        <v>805</v>
      </c>
      <c r="G22" s="89" t="s">
        <v>806</v>
      </c>
      <c r="H22" s="15" t="n">
        <v>3</v>
      </c>
      <c r="I22" s="73" t="s">
        <v>806</v>
      </c>
    </row>
    <row r="23" customFormat="false" ht="15" hidden="false" customHeight="true" outlineLevel="0" collapsed="false">
      <c r="A23" s="18" t="s">
        <v>25</v>
      </c>
      <c r="B23" s="19" t="s">
        <v>829</v>
      </c>
      <c r="C23" s="83" t="s">
        <v>8</v>
      </c>
      <c r="D23" s="77" t="s">
        <v>830</v>
      </c>
      <c r="E23" s="20" t="s">
        <v>831</v>
      </c>
      <c r="F23" s="88" t="s">
        <v>806</v>
      </c>
      <c r="G23" s="86" t="s">
        <v>806</v>
      </c>
      <c r="H23" s="21" t="n">
        <v>1</v>
      </c>
      <c r="I23" s="73" t="s">
        <v>806</v>
      </c>
    </row>
    <row r="24" customFormat="false" ht="15" hidden="false" customHeight="true" outlineLevel="0" collapsed="false">
      <c r="A24" s="11" t="s">
        <v>27</v>
      </c>
      <c r="B24" s="12" t="s">
        <v>832</v>
      </c>
      <c r="C24" s="82" t="s">
        <v>8</v>
      </c>
      <c r="D24" s="75" t="s">
        <v>830</v>
      </c>
      <c r="E24" s="13" t="s">
        <v>833</v>
      </c>
      <c r="F24" s="87" t="s">
        <v>806</v>
      </c>
      <c r="G24" s="89" t="s">
        <v>806</v>
      </c>
      <c r="H24" s="15" t="n">
        <v>1</v>
      </c>
      <c r="I24" s="73" t="s">
        <v>806</v>
      </c>
    </row>
    <row r="25" customFormat="false" ht="15" hidden="false" customHeight="true" outlineLevel="0" collapsed="false">
      <c r="A25" s="18" t="s">
        <v>29</v>
      </c>
      <c r="B25" s="19" t="s">
        <v>834</v>
      </c>
      <c r="C25" s="83" t="s">
        <v>8</v>
      </c>
      <c r="D25" s="77" t="s">
        <v>830</v>
      </c>
      <c r="E25" s="20" t="s">
        <v>804</v>
      </c>
      <c r="F25" s="88" t="s">
        <v>806</v>
      </c>
      <c r="G25" s="86" t="s">
        <v>806</v>
      </c>
      <c r="H25" s="21" t="n">
        <v>3</v>
      </c>
      <c r="I25" s="73" t="s">
        <v>806</v>
      </c>
    </row>
    <row r="26" customFormat="false" ht="15" hidden="false" customHeight="true" outlineLevel="0" collapsed="false">
      <c r="A26" s="11" t="s">
        <v>32</v>
      </c>
      <c r="B26" s="12" t="s">
        <v>835</v>
      </c>
      <c r="C26" s="82" t="s">
        <v>8</v>
      </c>
      <c r="D26" s="75" t="s">
        <v>836</v>
      </c>
      <c r="E26" s="13" t="s">
        <v>837</v>
      </c>
      <c r="F26" s="87" t="s">
        <v>806</v>
      </c>
      <c r="G26" s="11" t="s">
        <v>805</v>
      </c>
      <c r="H26" s="15" t="n">
        <v>2</v>
      </c>
      <c r="I26" s="73" t="s">
        <v>806</v>
      </c>
    </row>
    <row r="27" customFormat="false" ht="15" hidden="false" customHeight="true" outlineLevel="0" collapsed="false">
      <c r="A27" s="18" t="s">
        <v>34</v>
      </c>
      <c r="B27" s="19" t="s">
        <v>838</v>
      </c>
      <c r="C27" s="83" t="s">
        <v>8</v>
      </c>
      <c r="D27" s="77" t="s">
        <v>836</v>
      </c>
      <c r="E27" s="20" t="s">
        <v>839</v>
      </c>
      <c r="F27" s="88" t="s">
        <v>806</v>
      </c>
      <c r="G27" s="86" t="s">
        <v>806</v>
      </c>
      <c r="H27" s="21" t="n">
        <v>4</v>
      </c>
      <c r="I27" s="73" t="s">
        <v>806</v>
      </c>
    </row>
    <row r="28" customFormat="false" ht="15" hidden="false" customHeight="true" outlineLevel="0" collapsed="false">
      <c r="A28" s="11" t="s">
        <v>370</v>
      </c>
      <c r="B28" s="12" t="s">
        <v>840</v>
      </c>
      <c r="C28" s="82" t="s">
        <v>8</v>
      </c>
      <c r="D28" s="75" t="s">
        <v>836</v>
      </c>
      <c r="E28" s="13" t="s">
        <v>809</v>
      </c>
      <c r="F28" s="11" t="s">
        <v>805</v>
      </c>
      <c r="G28" s="89" t="s">
        <v>806</v>
      </c>
      <c r="H28" s="15" t="n">
        <v>3</v>
      </c>
      <c r="I28" s="73" t="s">
        <v>806</v>
      </c>
    </row>
    <row r="29" customFormat="false" ht="15" hidden="false" customHeight="true" outlineLevel="0" collapsed="false">
      <c r="A29" s="18" t="s">
        <v>36</v>
      </c>
      <c r="B29" s="19" t="s">
        <v>841</v>
      </c>
      <c r="C29" s="83" t="s">
        <v>8</v>
      </c>
      <c r="D29" s="77" t="s">
        <v>836</v>
      </c>
      <c r="E29" s="20" t="s">
        <v>842</v>
      </c>
      <c r="F29" s="88" t="s">
        <v>806</v>
      </c>
      <c r="G29" s="86" t="s">
        <v>806</v>
      </c>
      <c r="H29" s="21" t="n">
        <v>1</v>
      </c>
      <c r="I29" s="73" t="s">
        <v>806</v>
      </c>
    </row>
    <row r="30" customFormat="false" ht="15" hidden="false" customHeight="true" outlineLevel="0" collapsed="false">
      <c r="A30" s="11" t="s">
        <v>373</v>
      </c>
      <c r="B30" s="12" t="s">
        <v>843</v>
      </c>
      <c r="C30" s="82" t="s">
        <v>8</v>
      </c>
      <c r="D30" s="75" t="s">
        <v>836</v>
      </c>
      <c r="E30" s="13" t="s">
        <v>837</v>
      </c>
      <c r="F30" s="11" t="s">
        <v>805</v>
      </c>
      <c r="G30" s="89" t="s">
        <v>806</v>
      </c>
      <c r="H30" s="15" t="n">
        <v>2</v>
      </c>
      <c r="I30" s="73" t="s">
        <v>806</v>
      </c>
    </row>
    <row r="31" customFormat="false" ht="15" hidden="false" customHeight="true" outlineLevel="0" collapsed="false">
      <c r="A31" s="18" t="s">
        <v>38</v>
      </c>
      <c r="B31" s="19" t="s">
        <v>844</v>
      </c>
      <c r="C31" s="83" t="s">
        <v>8</v>
      </c>
      <c r="D31" s="77" t="s">
        <v>836</v>
      </c>
      <c r="E31" s="20" t="s">
        <v>845</v>
      </c>
      <c r="F31" s="88" t="s">
        <v>806</v>
      </c>
      <c r="G31" s="86" t="s">
        <v>806</v>
      </c>
      <c r="H31" s="21" t="n">
        <v>2</v>
      </c>
      <c r="I31" s="73" t="s">
        <v>806</v>
      </c>
    </row>
    <row r="32" customFormat="false" ht="15" hidden="false" customHeight="true" outlineLevel="0" collapsed="false">
      <c r="A32" s="11" t="s">
        <v>40</v>
      </c>
      <c r="B32" s="12" t="s">
        <v>846</v>
      </c>
      <c r="C32" s="82" t="s">
        <v>8</v>
      </c>
      <c r="D32" s="75" t="s">
        <v>836</v>
      </c>
      <c r="E32" s="13" t="s">
        <v>845</v>
      </c>
      <c r="F32" s="87" t="s">
        <v>806</v>
      </c>
      <c r="G32" s="89" t="s">
        <v>806</v>
      </c>
      <c r="H32" s="15" t="n">
        <v>2</v>
      </c>
      <c r="I32" s="73" t="s">
        <v>806</v>
      </c>
    </row>
    <row r="33" customFormat="false" ht="15" hidden="false" customHeight="true" outlineLevel="0" collapsed="false">
      <c r="A33" s="18" t="s">
        <v>41</v>
      </c>
      <c r="B33" s="19" t="s">
        <v>847</v>
      </c>
      <c r="C33" s="83" t="s">
        <v>8</v>
      </c>
      <c r="D33" s="77" t="s">
        <v>836</v>
      </c>
      <c r="E33" s="20" t="s">
        <v>848</v>
      </c>
      <c r="F33" s="88" t="s">
        <v>806</v>
      </c>
      <c r="G33" s="86" t="s">
        <v>806</v>
      </c>
      <c r="H33" s="21" t="n">
        <v>4</v>
      </c>
      <c r="I33" s="73" t="s">
        <v>806</v>
      </c>
    </row>
    <row r="34" customFormat="false" ht="15" hidden="false" customHeight="true" outlineLevel="0" collapsed="false">
      <c r="A34" s="11" t="s">
        <v>43</v>
      </c>
      <c r="B34" s="12" t="s">
        <v>849</v>
      </c>
      <c r="C34" s="82" t="s">
        <v>8</v>
      </c>
      <c r="D34" s="75" t="s">
        <v>836</v>
      </c>
      <c r="E34" s="13" t="s">
        <v>850</v>
      </c>
      <c r="F34" s="87" t="s">
        <v>806</v>
      </c>
      <c r="G34" s="89" t="s">
        <v>806</v>
      </c>
      <c r="H34" s="15" t="n">
        <v>1</v>
      </c>
      <c r="I34" s="73" t="s">
        <v>806</v>
      </c>
    </row>
    <row r="35" customFormat="false" ht="15" hidden="false" customHeight="true" outlineLevel="0" collapsed="false">
      <c r="A35" s="18" t="s">
        <v>379</v>
      </c>
      <c r="B35" s="19" t="s">
        <v>851</v>
      </c>
      <c r="C35" s="83" t="s">
        <v>8</v>
      </c>
      <c r="D35" s="77" t="s">
        <v>836</v>
      </c>
      <c r="E35" s="20" t="s">
        <v>850</v>
      </c>
      <c r="F35" s="18" t="s">
        <v>805</v>
      </c>
      <c r="G35" s="86" t="s">
        <v>806</v>
      </c>
      <c r="H35" s="21" t="n">
        <v>2</v>
      </c>
      <c r="I35" s="73" t="s">
        <v>806</v>
      </c>
    </row>
    <row r="36" customFormat="false" ht="15" hidden="false" customHeight="true" outlineLevel="0" collapsed="false">
      <c r="A36" s="11" t="s">
        <v>380</v>
      </c>
      <c r="B36" s="12" t="s">
        <v>852</v>
      </c>
      <c r="C36" s="82" t="s">
        <v>8</v>
      </c>
      <c r="D36" s="75" t="s">
        <v>836</v>
      </c>
      <c r="E36" s="13" t="s">
        <v>837</v>
      </c>
      <c r="F36" s="11" t="s">
        <v>805</v>
      </c>
      <c r="G36" s="89" t="s">
        <v>806</v>
      </c>
      <c r="H36" s="15" t="n">
        <v>2</v>
      </c>
      <c r="I36" s="73" t="s">
        <v>806</v>
      </c>
    </row>
    <row r="37" customFormat="false" ht="15" hidden="false" customHeight="true" outlineLevel="0" collapsed="false">
      <c r="A37" s="18" t="s">
        <v>45</v>
      </c>
      <c r="B37" s="19" t="s">
        <v>853</v>
      </c>
      <c r="C37" s="83" t="s">
        <v>8</v>
      </c>
      <c r="D37" s="77" t="s">
        <v>836</v>
      </c>
      <c r="E37" s="20" t="s">
        <v>854</v>
      </c>
      <c r="F37" s="88" t="s">
        <v>806</v>
      </c>
      <c r="G37" s="18" t="s">
        <v>805</v>
      </c>
      <c r="H37" s="21" t="n">
        <v>1</v>
      </c>
      <c r="I37" s="73" t="s">
        <v>806</v>
      </c>
    </row>
    <row r="38" customFormat="false" ht="15" hidden="false" customHeight="true" outlineLevel="0" collapsed="false">
      <c r="A38" s="11" t="s">
        <v>47</v>
      </c>
      <c r="B38" s="12" t="s">
        <v>855</v>
      </c>
      <c r="C38" s="82" t="s">
        <v>8</v>
      </c>
      <c r="D38" s="75" t="s">
        <v>836</v>
      </c>
      <c r="E38" s="13" t="s">
        <v>856</v>
      </c>
      <c r="F38" s="87" t="s">
        <v>806</v>
      </c>
      <c r="G38" s="11" t="s">
        <v>805</v>
      </c>
      <c r="H38" s="15" t="n">
        <v>1</v>
      </c>
      <c r="I38" s="73" t="s">
        <v>806</v>
      </c>
    </row>
    <row r="39" customFormat="false" ht="15" hidden="false" customHeight="true" outlineLevel="0" collapsed="false">
      <c r="A39" s="18" t="s">
        <v>49</v>
      </c>
      <c r="B39" s="19" t="s">
        <v>857</v>
      </c>
      <c r="C39" s="83" t="s">
        <v>8</v>
      </c>
      <c r="D39" s="77" t="s">
        <v>836</v>
      </c>
      <c r="E39" s="20" t="s">
        <v>858</v>
      </c>
      <c r="F39" s="88" t="s">
        <v>806</v>
      </c>
      <c r="G39" s="86" t="s">
        <v>806</v>
      </c>
      <c r="H39" s="21" t="n">
        <v>5</v>
      </c>
      <c r="I39" s="73" t="s">
        <v>806</v>
      </c>
    </row>
    <row r="40" customFormat="false" ht="15" hidden="false" customHeight="true" outlineLevel="0" collapsed="false">
      <c r="A40" s="11" t="s">
        <v>51</v>
      </c>
      <c r="B40" s="12" t="s">
        <v>859</v>
      </c>
      <c r="C40" s="82" t="s">
        <v>8</v>
      </c>
      <c r="D40" s="75" t="s">
        <v>836</v>
      </c>
      <c r="E40" s="13" t="s">
        <v>860</v>
      </c>
      <c r="F40" s="87" t="s">
        <v>806</v>
      </c>
      <c r="G40" s="89" t="s">
        <v>806</v>
      </c>
      <c r="H40" s="15" t="n">
        <v>12</v>
      </c>
      <c r="I40" s="73" t="s">
        <v>806</v>
      </c>
    </row>
    <row r="41" customFormat="false" ht="15" hidden="false" customHeight="true" outlineLevel="0" collapsed="false">
      <c r="A41" s="18" t="s">
        <v>53</v>
      </c>
      <c r="B41" s="19" t="s">
        <v>861</v>
      </c>
      <c r="C41" s="83" t="s">
        <v>8</v>
      </c>
      <c r="D41" s="77" t="s">
        <v>836</v>
      </c>
      <c r="E41" s="20" t="s">
        <v>862</v>
      </c>
      <c r="F41" s="88" t="s">
        <v>806</v>
      </c>
      <c r="G41" s="18" t="s">
        <v>805</v>
      </c>
      <c r="H41" s="21" t="n">
        <v>1</v>
      </c>
      <c r="I41" s="73" t="s">
        <v>806</v>
      </c>
    </row>
    <row r="42" customFormat="false" ht="15" hidden="false" customHeight="true" outlineLevel="0" collapsed="false">
      <c r="A42" s="11" t="s">
        <v>383</v>
      </c>
      <c r="B42" s="12" t="s">
        <v>863</v>
      </c>
      <c r="C42" s="82" t="s">
        <v>8</v>
      </c>
      <c r="D42" s="75" t="s">
        <v>836</v>
      </c>
      <c r="E42" s="13" t="s">
        <v>824</v>
      </c>
      <c r="F42" s="11" t="s">
        <v>805</v>
      </c>
      <c r="G42" s="89" t="s">
        <v>806</v>
      </c>
      <c r="H42" s="15" t="n">
        <v>1</v>
      </c>
      <c r="I42" s="73" t="s">
        <v>806</v>
      </c>
    </row>
    <row r="43" customFormat="false" ht="15" hidden="false" customHeight="true" outlineLevel="0" collapsed="false">
      <c r="A43" s="18" t="s">
        <v>55</v>
      </c>
      <c r="B43" s="19" t="s">
        <v>864</v>
      </c>
      <c r="C43" s="83" t="s">
        <v>8</v>
      </c>
      <c r="D43" s="77" t="s">
        <v>836</v>
      </c>
      <c r="E43" s="20" t="s">
        <v>865</v>
      </c>
      <c r="F43" s="88" t="s">
        <v>806</v>
      </c>
      <c r="G43" s="86" t="s">
        <v>806</v>
      </c>
      <c r="H43" s="21" t="n">
        <v>22</v>
      </c>
      <c r="I43" s="73" t="s">
        <v>806</v>
      </c>
    </row>
    <row r="44" customFormat="false" ht="15" hidden="false" customHeight="true" outlineLevel="0" collapsed="false">
      <c r="A44" s="11" t="s">
        <v>57</v>
      </c>
      <c r="B44" s="12" t="s">
        <v>866</v>
      </c>
      <c r="C44" s="82" t="s">
        <v>8</v>
      </c>
      <c r="D44" s="75" t="s">
        <v>836</v>
      </c>
      <c r="E44" s="13" t="s">
        <v>824</v>
      </c>
      <c r="F44" s="87" t="s">
        <v>806</v>
      </c>
      <c r="G44" s="11" t="s">
        <v>805</v>
      </c>
      <c r="H44" s="15" t="n">
        <v>2</v>
      </c>
      <c r="I44" s="73" t="s">
        <v>806</v>
      </c>
    </row>
    <row r="45" customFormat="false" ht="15" hidden="false" customHeight="true" outlineLevel="0" collapsed="false">
      <c r="A45" s="18" t="s">
        <v>59</v>
      </c>
      <c r="B45" s="19" t="s">
        <v>867</v>
      </c>
      <c r="C45" s="83" t="s">
        <v>8</v>
      </c>
      <c r="D45" s="77" t="s">
        <v>836</v>
      </c>
      <c r="E45" s="20" t="s">
        <v>858</v>
      </c>
      <c r="F45" s="88" t="s">
        <v>806</v>
      </c>
      <c r="G45" s="18" t="s">
        <v>805</v>
      </c>
      <c r="H45" s="21" t="n">
        <v>2</v>
      </c>
      <c r="I45" s="73" t="s">
        <v>806</v>
      </c>
    </row>
    <row r="46" customFormat="false" ht="15" hidden="false" customHeight="true" outlineLevel="0" collapsed="false">
      <c r="A46" s="11" t="s">
        <v>61</v>
      </c>
      <c r="B46" s="12" t="s">
        <v>868</v>
      </c>
      <c r="C46" s="82" t="s">
        <v>8</v>
      </c>
      <c r="D46" s="75" t="s">
        <v>836</v>
      </c>
      <c r="E46" s="13" t="s">
        <v>850</v>
      </c>
      <c r="F46" s="87" t="s">
        <v>806</v>
      </c>
      <c r="G46" s="11" t="s">
        <v>805</v>
      </c>
      <c r="H46" s="15" t="n">
        <v>1</v>
      </c>
      <c r="I46" s="73" t="s">
        <v>806</v>
      </c>
    </row>
    <row r="47" customFormat="false" ht="15" hidden="false" customHeight="true" outlineLevel="0" collapsed="false">
      <c r="A47" s="18" t="s">
        <v>63</v>
      </c>
      <c r="B47" s="19" t="s">
        <v>869</v>
      </c>
      <c r="C47" s="83" t="s">
        <v>8</v>
      </c>
      <c r="D47" s="77" t="s">
        <v>836</v>
      </c>
      <c r="E47" s="20" t="s">
        <v>850</v>
      </c>
      <c r="F47" s="88" t="s">
        <v>806</v>
      </c>
      <c r="G47" s="86" t="s">
        <v>806</v>
      </c>
      <c r="H47" s="21" t="n">
        <v>7</v>
      </c>
      <c r="I47" s="73" t="s">
        <v>806</v>
      </c>
    </row>
    <row r="48" customFormat="false" ht="15" hidden="false" customHeight="true" outlineLevel="0" collapsed="false">
      <c r="A48" s="11" t="s">
        <v>65</v>
      </c>
      <c r="B48" s="12" t="s">
        <v>870</v>
      </c>
      <c r="C48" s="82" t="s">
        <v>8</v>
      </c>
      <c r="D48" s="75" t="s">
        <v>836</v>
      </c>
      <c r="E48" s="13" t="s">
        <v>871</v>
      </c>
      <c r="F48" s="87" t="s">
        <v>806</v>
      </c>
      <c r="G48" s="89" t="s">
        <v>806</v>
      </c>
      <c r="H48" s="15" t="n">
        <v>6</v>
      </c>
      <c r="I48" s="73" t="s">
        <v>806</v>
      </c>
    </row>
    <row r="49" customFormat="false" ht="15" hidden="false" customHeight="true" outlineLevel="0" collapsed="false">
      <c r="A49" s="18" t="s">
        <v>67</v>
      </c>
      <c r="B49" s="19" t="s">
        <v>872</v>
      </c>
      <c r="C49" s="83" t="s">
        <v>8</v>
      </c>
      <c r="D49" s="77" t="s">
        <v>836</v>
      </c>
      <c r="E49" s="20" t="s">
        <v>845</v>
      </c>
      <c r="F49" s="88" t="s">
        <v>806</v>
      </c>
      <c r="G49" s="86" t="s">
        <v>806</v>
      </c>
      <c r="H49" s="21" t="n">
        <v>2</v>
      </c>
      <c r="I49" s="73" t="s">
        <v>806</v>
      </c>
    </row>
    <row r="50" customFormat="false" ht="15" hidden="false" customHeight="true" outlineLevel="0" collapsed="false">
      <c r="A50" s="11" t="s">
        <v>68</v>
      </c>
      <c r="B50" s="12" t="s">
        <v>873</v>
      </c>
      <c r="C50" s="82" t="s">
        <v>8</v>
      </c>
      <c r="D50" s="75" t="s">
        <v>836</v>
      </c>
      <c r="E50" s="13" t="s">
        <v>874</v>
      </c>
      <c r="F50" s="87" t="s">
        <v>806</v>
      </c>
      <c r="G50" s="11" t="s">
        <v>805</v>
      </c>
      <c r="H50" s="15" t="n">
        <v>1</v>
      </c>
      <c r="I50" s="73" t="s">
        <v>806</v>
      </c>
    </row>
    <row r="51" customFormat="false" ht="15" hidden="false" customHeight="true" outlineLevel="0" collapsed="false">
      <c r="A51" s="18" t="s">
        <v>69</v>
      </c>
      <c r="B51" s="19" t="s">
        <v>875</v>
      </c>
      <c r="C51" s="83" t="s">
        <v>8</v>
      </c>
      <c r="D51" s="77" t="s">
        <v>836</v>
      </c>
      <c r="E51" s="20" t="s">
        <v>850</v>
      </c>
      <c r="F51" s="88" t="s">
        <v>806</v>
      </c>
      <c r="G51" s="18" t="s">
        <v>805</v>
      </c>
      <c r="H51" s="21" t="n">
        <v>5</v>
      </c>
      <c r="I51" s="73" t="s">
        <v>806</v>
      </c>
    </row>
    <row r="52" customFormat="false" ht="15" hidden="false" customHeight="true" outlineLevel="0" collapsed="false">
      <c r="A52" s="11" t="s">
        <v>71</v>
      </c>
      <c r="B52" s="12" t="s">
        <v>876</v>
      </c>
      <c r="C52" s="82" t="s">
        <v>8</v>
      </c>
      <c r="D52" s="75" t="s">
        <v>836</v>
      </c>
      <c r="E52" s="13" t="s">
        <v>804</v>
      </c>
      <c r="F52" s="87" t="s">
        <v>806</v>
      </c>
      <c r="G52" s="11" t="s">
        <v>805</v>
      </c>
      <c r="H52" s="15" t="n">
        <v>1</v>
      </c>
      <c r="I52" s="73" t="s">
        <v>806</v>
      </c>
    </row>
    <row r="53" customFormat="false" ht="15" hidden="false" customHeight="true" outlineLevel="0" collapsed="false">
      <c r="A53" s="18" t="s">
        <v>73</v>
      </c>
      <c r="B53" s="19" t="s">
        <v>877</v>
      </c>
      <c r="C53" s="83" t="s">
        <v>8</v>
      </c>
      <c r="D53" s="77" t="s">
        <v>836</v>
      </c>
      <c r="E53" s="20" t="s">
        <v>878</v>
      </c>
      <c r="F53" s="88" t="s">
        <v>806</v>
      </c>
      <c r="G53" s="86" t="s">
        <v>806</v>
      </c>
      <c r="H53" s="21" t="n">
        <v>11</v>
      </c>
      <c r="I53" s="73" t="s">
        <v>806</v>
      </c>
    </row>
    <row r="54" customFormat="false" ht="15" hidden="false" customHeight="true" outlineLevel="0" collapsed="false">
      <c r="A54" s="11" t="s">
        <v>75</v>
      </c>
      <c r="B54" s="12" t="s">
        <v>879</v>
      </c>
      <c r="C54" s="82" t="s">
        <v>8</v>
      </c>
      <c r="D54" s="75" t="s">
        <v>836</v>
      </c>
      <c r="E54" s="13" t="s">
        <v>871</v>
      </c>
      <c r="F54" s="87" t="s">
        <v>806</v>
      </c>
      <c r="G54" s="11" t="s">
        <v>805</v>
      </c>
      <c r="H54" s="15" t="n">
        <v>1</v>
      </c>
      <c r="I54" s="73" t="s">
        <v>806</v>
      </c>
    </row>
    <row r="55" customFormat="false" ht="15" hidden="false" customHeight="true" outlineLevel="0" collapsed="false">
      <c r="A55" s="18" t="s">
        <v>77</v>
      </c>
      <c r="B55" s="19" t="s">
        <v>880</v>
      </c>
      <c r="C55" s="83" t="s">
        <v>8</v>
      </c>
      <c r="D55" s="77" t="s">
        <v>836</v>
      </c>
      <c r="E55" s="20" t="s">
        <v>871</v>
      </c>
      <c r="F55" s="88" t="s">
        <v>806</v>
      </c>
      <c r="G55" s="86" t="s">
        <v>806</v>
      </c>
      <c r="H55" s="21" t="n">
        <v>3</v>
      </c>
      <c r="I55" s="73" t="s">
        <v>806</v>
      </c>
    </row>
    <row r="56" customFormat="false" ht="15" hidden="false" customHeight="true" outlineLevel="0" collapsed="false">
      <c r="A56" s="11" t="s">
        <v>79</v>
      </c>
      <c r="B56" s="12" t="s">
        <v>881</v>
      </c>
      <c r="C56" s="82" t="s">
        <v>8</v>
      </c>
      <c r="D56" s="75" t="s">
        <v>836</v>
      </c>
      <c r="E56" s="13" t="s">
        <v>871</v>
      </c>
      <c r="F56" s="87" t="s">
        <v>806</v>
      </c>
      <c r="G56" s="89" t="s">
        <v>806</v>
      </c>
      <c r="H56" s="15" t="n">
        <v>1</v>
      </c>
      <c r="I56" s="73" t="s">
        <v>806</v>
      </c>
    </row>
    <row r="57" customFormat="false" ht="15" hidden="false" customHeight="true" outlineLevel="0" collapsed="false">
      <c r="A57" s="18" t="s">
        <v>81</v>
      </c>
      <c r="B57" s="19" t="s">
        <v>882</v>
      </c>
      <c r="C57" s="83" t="s">
        <v>8</v>
      </c>
      <c r="D57" s="77" t="s">
        <v>836</v>
      </c>
      <c r="E57" s="20" t="s">
        <v>883</v>
      </c>
      <c r="F57" s="88" t="s">
        <v>806</v>
      </c>
      <c r="G57" s="18" t="s">
        <v>805</v>
      </c>
      <c r="H57" s="21" t="n">
        <v>3</v>
      </c>
      <c r="I57" s="73" t="s">
        <v>806</v>
      </c>
    </row>
    <row r="58" customFormat="false" ht="15" hidden="false" customHeight="true" outlineLevel="0" collapsed="false">
      <c r="A58" s="11" t="s">
        <v>83</v>
      </c>
      <c r="B58" s="12" t="s">
        <v>884</v>
      </c>
      <c r="C58" s="82" t="s">
        <v>8</v>
      </c>
      <c r="D58" s="75" t="s">
        <v>836</v>
      </c>
      <c r="E58" s="13" t="s">
        <v>854</v>
      </c>
      <c r="F58" s="87" t="s">
        <v>806</v>
      </c>
      <c r="G58" s="11" t="s">
        <v>805</v>
      </c>
      <c r="H58" s="15" t="n">
        <v>1</v>
      </c>
      <c r="I58" s="73" t="s">
        <v>806</v>
      </c>
    </row>
    <row r="59" customFormat="false" ht="15" hidden="false" customHeight="true" outlineLevel="0" collapsed="false">
      <c r="A59" s="18" t="s">
        <v>84</v>
      </c>
      <c r="B59" s="19" t="s">
        <v>885</v>
      </c>
      <c r="C59" s="83" t="s">
        <v>8</v>
      </c>
      <c r="D59" s="77" t="s">
        <v>836</v>
      </c>
      <c r="E59" s="20" t="s">
        <v>809</v>
      </c>
      <c r="F59" s="88" t="s">
        <v>806</v>
      </c>
      <c r="G59" s="86" t="s">
        <v>806</v>
      </c>
      <c r="H59" s="21" t="n">
        <v>5</v>
      </c>
      <c r="I59" s="73" t="s">
        <v>806</v>
      </c>
    </row>
    <row r="60" customFormat="false" ht="15" hidden="false" customHeight="true" outlineLevel="0" collapsed="false">
      <c r="A60" s="11" t="s">
        <v>86</v>
      </c>
      <c r="B60" s="12" t="s">
        <v>886</v>
      </c>
      <c r="C60" s="82" t="s">
        <v>8</v>
      </c>
      <c r="D60" s="75" t="s">
        <v>836</v>
      </c>
      <c r="E60" s="13" t="s">
        <v>850</v>
      </c>
      <c r="F60" s="87" t="s">
        <v>806</v>
      </c>
      <c r="G60" s="89" t="s">
        <v>806</v>
      </c>
      <c r="H60" s="15" t="n">
        <v>5</v>
      </c>
      <c r="I60" s="73" t="s">
        <v>806</v>
      </c>
    </row>
    <row r="61" customFormat="false" ht="15" hidden="false" customHeight="true" outlineLevel="0" collapsed="false">
      <c r="A61" s="18" t="s">
        <v>88</v>
      </c>
      <c r="B61" s="19" t="s">
        <v>887</v>
      </c>
      <c r="C61" s="83" t="s">
        <v>8</v>
      </c>
      <c r="D61" s="77" t="s">
        <v>836</v>
      </c>
      <c r="E61" s="20" t="s">
        <v>862</v>
      </c>
      <c r="F61" s="88" t="s">
        <v>806</v>
      </c>
      <c r="G61" s="86" t="s">
        <v>806</v>
      </c>
      <c r="H61" s="21" t="n">
        <v>2</v>
      </c>
      <c r="I61" s="73" t="s">
        <v>806</v>
      </c>
    </row>
    <row r="62" customFormat="false" ht="15" hidden="false" customHeight="true" outlineLevel="0" collapsed="false">
      <c r="A62" s="11" t="s">
        <v>90</v>
      </c>
      <c r="B62" s="12" t="s">
        <v>888</v>
      </c>
      <c r="C62" s="82" t="s">
        <v>8</v>
      </c>
      <c r="D62" s="75" t="s">
        <v>836</v>
      </c>
      <c r="E62" s="13" t="s">
        <v>850</v>
      </c>
      <c r="F62" s="87" t="s">
        <v>806</v>
      </c>
      <c r="G62" s="89" t="s">
        <v>806</v>
      </c>
      <c r="H62" s="15" t="n">
        <v>6</v>
      </c>
      <c r="I62" s="73" t="s">
        <v>806</v>
      </c>
    </row>
    <row r="63" customFormat="false" ht="15" hidden="false" customHeight="true" outlineLevel="0" collapsed="false">
      <c r="A63" s="18" t="s">
        <v>92</v>
      </c>
      <c r="B63" s="19" t="s">
        <v>889</v>
      </c>
      <c r="C63" s="83" t="s">
        <v>8</v>
      </c>
      <c r="D63" s="77" t="s">
        <v>836</v>
      </c>
      <c r="E63" s="20" t="s">
        <v>854</v>
      </c>
      <c r="F63" s="88" t="s">
        <v>806</v>
      </c>
      <c r="G63" s="18" t="s">
        <v>805</v>
      </c>
      <c r="H63" s="21" t="n">
        <v>1</v>
      </c>
      <c r="I63" s="73" t="s">
        <v>806</v>
      </c>
    </row>
    <row r="64" customFormat="false" ht="15" hidden="false" customHeight="true" outlineLevel="0" collapsed="false">
      <c r="A64" s="11" t="s">
        <v>94</v>
      </c>
      <c r="B64" s="12" t="s">
        <v>890</v>
      </c>
      <c r="C64" s="82" t="s">
        <v>8</v>
      </c>
      <c r="D64" s="75" t="s">
        <v>836</v>
      </c>
      <c r="E64" s="13" t="s">
        <v>854</v>
      </c>
      <c r="F64" s="87" t="s">
        <v>806</v>
      </c>
      <c r="G64" s="11" t="s">
        <v>805</v>
      </c>
      <c r="H64" s="15" t="n">
        <v>2</v>
      </c>
      <c r="I64" s="73" t="s">
        <v>806</v>
      </c>
    </row>
    <row r="65" customFormat="false" ht="15" hidden="false" customHeight="true" outlineLevel="0" collapsed="false">
      <c r="A65" s="18" t="s">
        <v>96</v>
      </c>
      <c r="B65" s="19" t="s">
        <v>891</v>
      </c>
      <c r="C65" s="83" t="s">
        <v>8</v>
      </c>
      <c r="D65" s="77" t="s">
        <v>836</v>
      </c>
      <c r="E65" s="20" t="s">
        <v>824</v>
      </c>
      <c r="F65" s="88" t="s">
        <v>806</v>
      </c>
      <c r="G65" s="86" t="s">
        <v>806</v>
      </c>
      <c r="H65" s="21" t="n">
        <v>2</v>
      </c>
      <c r="I65" s="73" t="s">
        <v>806</v>
      </c>
    </row>
    <row r="66" customFormat="false" ht="15" hidden="false" customHeight="true" outlineLevel="0" collapsed="false">
      <c r="A66" s="90" t="s">
        <v>449</v>
      </c>
      <c r="B66" s="91" t="s">
        <v>892</v>
      </c>
      <c r="C66" s="92" t="s">
        <v>8</v>
      </c>
      <c r="D66" s="93" t="s">
        <v>721</v>
      </c>
      <c r="E66" s="94" t="s">
        <v>804</v>
      </c>
      <c r="F66" s="90" t="s">
        <v>805</v>
      </c>
      <c r="G66" s="95" t="s">
        <v>806</v>
      </c>
      <c r="H66" s="96" t="n">
        <v>1</v>
      </c>
      <c r="I66" s="73" t="s">
        <v>806</v>
      </c>
    </row>
    <row r="67" customFormat="false" ht="15" hidden="false" customHeight="true" outlineLevel="0" collapsed="false">
      <c r="A67" s="90" t="s">
        <v>256</v>
      </c>
      <c r="B67" s="91" t="s">
        <v>893</v>
      </c>
      <c r="C67" s="92" t="s">
        <v>8</v>
      </c>
      <c r="D67" s="93" t="s">
        <v>721</v>
      </c>
      <c r="E67" s="94" t="s">
        <v>804</v>
      </c>
      <c r="F67" s="97" t="s">
        <v>806</v>
      </c>
      <c r="G67" s="90" t="s">
        <v>805</v>
      </c>
      <c r="H67" s="96" t="n">
        <v>1</v>
      </c>
      <c r="I67" s="73" t="s">
        <v>806</v>
      </c>
    </row>
    <row r="68" customFormat="false" ht="15" hidden="false" customHeight="true" outlineLevel="0" collapsed="false">
      <c r="A68" s="90" t="s">
        <v>257</v>
      </c>
      <c r="B68" s="91" t="s">
        <v>894</v>
      </c>
      <c r="C68" s="92" t="s">
        <v>8</v>
      </c>
      <c r="D68" s="93" t="s">
        <v>721</v>
      </c>
      <c r="E68" s="94" t="s">
        <v>804</v>
      </c>
      <c r="F68" s="97" t="s">
        <v>806</v>
      </c>
      <c r="G68" s="90" t="s">
        <v>805</v>
      </c>
      <c r="H68" s="96" t="n">
        <v>1</v>
      </c>
      <c r="I68" s="73" t="s">
        <v>806</v>
      </c>
    </row>
    <row r="69" customFormat="false" ht="15" hidden="false" customHeight="true" outlineLevel="0" collapsed="false">
      <c r="A69" s="90" t="s">
        <v>262</v>
      </c>
      <c r="B69" s="91" t="s">
        <v>895</v>
      </c>
      <c r="C69" s="92" t="s">
        <v>8</v>
      </c>
      <c r="D69" s="93" t="s">
        <v>721</v>
      </c>
      <c r="E69" s="94" t="s">
        <v>804</v>
      </c>
      <c r="F69" s="97" t="s">
        <v>806</v>
      </c>
      <c r="G69" s="90" t="s">
        <v>805</v>
      </c>
      <c r="H69" s="96" t="n">
        <v>2</v>
      </c>
      <c r="I69" s="73" t="s">
        <v>806</v>
      </c>
    </row>
    <row r="70" customFormat="false" ht="15" hidden="false" customHeight="true" outlineLevel="0" collapsed="false">
      <c r="A70" s="90" t="s">
        <v>264</v>
      </c>
      <c r="B70" s="91" t="s">
        <v>896</v>
      </c>
      <c r="C70" s="92" t="s">
        <v>8</v>
      </c>
      <c r="D70" s="93" t="s">
        <v>721</v>
      </c>
      <c r="E70" s="94" t="s">
        <v>804</v>
      </c>
      <c r="F70" s="97" t="s">
        <v>806</v>
      </c>
      <c r="G70" s="90" t="s">
        <v>805</v>
      </c>
      <c r="H70" s="96" t="n">
        <v>3</v>
      </c>
      <c r="I70" s="73" t="s">
        <v>806</v>
      </c>
    </row>
    <row r="71" customFormat="false" ht="15" hidden="false" customHeight="true" outlineLevel="0" collapsed="false">
      <c r="A71" s="90" t="s">
        <v>451</v>
      </c>
      <c r="B71" s="91" t="s">
        <v>897</v>
      </c>
      <c r="C71" s="92" t="s">
        <v>8</v>
      </c>
      <c r="D71" s="93" t="s">
        <v>721</v>
      </c>
      <c r="E71" s="94" t="s">
        <v>804</v>
      </c>
      <c r="F71" s="90" t="s">
        <v>805</v>
      </c>
      <c r="G71" s="95" t="s">
        <v>806</v>
      </c>
      <c r="H71" s="96" t="n">
        <v>1</v>
      </c>
      <c r="I71" s="73" t="s">
        <v>806</v>
      </c>
    </row>
    <row r="72" customFormat="false" ht="15" hidden="false" customHeight="true" outlineLevel="0" collapsed="false">
      <c r="A72" s="90" t="s">
        <v>276</v>
      </c>
      <c r="B72" s="91" t="s">
        <v>898</v>
      </c>
      <c r="C72" s="92" t="s">
        <v>8</v>
      </c>
      <c r="D72" s="93" t="s">
        <v>830</v>
      </c>
      <c r="E72" s="94" t="s">
        <v>831</v>
      </c>
      <c r="F72" s="97" t="s">
        <v>806</v>
      </c>
      <c r="G72" s="90" t="s">
        <v>805</v>
      </c>
      <c r="H72" s="96" t="n">
        <v>3</v>
      </c>
      <c r="I72" s="73" t="s">
        <v>806</v>
      </c>
    </row>
    <row r="73" customFormat="false" ht="15" hidden="false" customHeight="true" outlineLevel="0" collapsed="false">
      <c r="A73" s="90" t="s">
        <v>278</v>
      </c>
      <c r="B73" s="91" t="s">
        <v>899</v>
      </c>
      <c r="C73" s="92" t="s">
        <v>8</v>
      </c>
      <c r="D73" s="93" t="s">
        <v>836</v>
      </c>
      <c r="E73" s="94" t="s">
        <v>809</v>
      </c>
      <c r="F73" s="97" t="s">
        <v>806</v>
      </c>
      <c r="G73" s="95" t="s">
        <v>806</v>
      </c>
      <c r="H73" s="96" t="n">
        <v>14</v>
      </c>
      <c r="I73" s="73" t="s">
        <v>806</v>
      </c>
    </row>
    <row r="74" customFormat="false" ht="15" hidden="false" customHeight="true" outlineLevel="0" collapsed="false">
      <c r="A74" s="90" t="s">
        <v>280</v>
      </c>
      <c r="B74" s="91" t="s">
        <v>900</v>
      </c>
      <c r="C74" s="92" t="s">
        <v>8</v>
      </c>
      <c r="D74" s="93" t="s">
        <v>836</v>
      </c>
      <c r="E74" s="94" t="s">
        <v>850</v>
      </c>
      <c r="F74" s="97" t="s">
        <v>806</v>
      </c>
      <c r="G74" s="95" t="s">
        <v>806</v>
      </c>
      <c r="H74" s="96" t="n">
        <v>5</v>
      </c>
      <c r="I74" s="73" t="s">
        <v>806</v>
      </c>
    </row>
    <row r="75" customFormat="false" ht="15" hidden="false" customHeight="true" outlineLevel="0" collapsed="false">
      <c r="A75" s="90" t="s">
        <v>282</v>
      </c>
      <c r="B75" s="91" t="s">
        <v>901</v>
      </c>
      <c r="C75" s="92" t="s">
        <v>8</v>
      </c>
      <c r="D75" s="93" t="s">
        <v>836</v>
      </c>
      <c r="E75" s="94" t="s">
        <v>824</v>
      </c>
      <c r="F75" s="97" t="s">
        <v>806</v>
      </c>
      <c r="G75" s="90" t="s">
        <v>805</v>
      </c>
      <c r="H75" s="96" t="n">
        <v>2</v>
      </c>
      <c r="I75" s="73" t="s">
        <v>806</v>
      </c>
    </row>
    <row r="76" customFormat="false" ht="15" hidden="false" customHeight="true" outlineLevel="0" collapsed="false">
      <c r="A76" s="90" t="s">
        <v>455</v>
      </c>
      <c r="B76" s="91" t="s">
        <v>902</v>
      </c>
      <c r="C76" s="92" t="s">
        <v>8</v>
      </c>
      <c r="D76" s="93" t="s">
        <v>836</v>
      </c>
      <c r="E76" s="94" t="s">
        <v>850</v>
      </c>
      <c r="F76" s="90" t="s">
        <v>805</v>
      </c>
      <c r="G76" s="95" t="s">
        <v>806</v>
      </c>
      <c r="H76" s="96" t="n">
        <v>1</v>
      </c>
      <c r="I76" s="73" t="s">
        <v>806</v>
      </c>
    </row>
    <row r="77" customFormat="false" ht="15" hidden="false" customHeight="true" outlineLevel="0" collapsed="false">
      <c r="A77" s="11" t="s">
        <v>234</v>
      </c>
      <c r="B77" s="12" t="s">
        <v>903</v>
      </c>
      <c r="C77" s="82" t="s">
        <v>232</v>
      </c>
      <c r="D77" s="75" t="s">
        <v>814</v>
      </c>
      <c r="E77" s="13" t="s">
        <v>804</v>
      </c>
      <c r="F77" s="87" t="s">
        <v>806</v>
      </c>
      <c r="G77" s="89" t="s">
        <v>806</v>
      </c>
      <c r="H77" s="15" t="n">
        <v>3</v>
      </c>
      <c r="I77" s="73" t="s">
        <v>806</v>
      </c>
    </row>
    <row r="78" customFormat="false" ht="15" hidden="false" customHeight="true" outlineLevel="0" collapsed="false">
      <c r="A78" s="18" t="s">
        <v>236</v>
      </c>
      <c r="B78" s="19" t="s">
        <v>904</v>
      </c>
      <c r="C78" s="83" t="s">
        <v>232</v>
      </c>
      <c r="D78" s="77" t="s">
        <v>814</v>
      </c>
      <c r="E78" s="20" t="s">
        <v>804</v>
      </c>
      <c r="F78" s="88" t="s">
        <v>806</v>
      </c>
      <c r="G78" s="86" t="s">
        <v>806</v>
      </c>
      <c r="H78" s="21" t="n">
        <v>2</v>
      </c>
      <c r="I78" s="73" t="s">
        <v>806</v>
      </c>
    </row>
    <row r="79" customFormat="false" ht="15" hidden="false" customHeight="true" outlineLevel="0" collapsed="false">
      <c r="A79" s="11" t="s">
        <v>440</v>
      </c>
      <c r="B79" s="12" t="s">
        <v>905</v>
      </c>
      <c r="C79" s="82" t="s">
        <v>232</v>
      </c>
      <c r="D79" s="75" t="s">
        <v>814</v>
      </c>
      <c r="E79" s="13" t="s">
        <v>804</v>
      </c>
      <c r="F79" s="11" t="s">
        <v>805</v>
      </c>
      <c r="G79" s="89" t="s">
        <v>806</v>
      </c>
      <c r="H79" s="15" t="n">
        <v>2</v>
      </c>
      <c r="I79" s="73" t="s">
        <v>806</v>
      </c>
    </row>
    <row r="80" customFormat="false" ht="15" hidden="false" customHeight="true" outlineLevel="0" collapsed="false">
      <c r="A80" s="18" t="s">
        <v>442</v>
      </c>
      <c r="B80" s="19" t="s">
        <v>906</v>
      </c>
      <c r="C80" s="83" t="s">
        <v>232</v>
      </c>
      <c r="D80" s="77" t="s">
        <v>814</v>
      </c>
      <c r="E80" s="20" t="s">
        <v>804</v>
      </c>
      <c r="F80" s="18" t="s">
        <v>805</v>
      </c>
      <c r="G80" s="86" t="s">
        <v>806</v>
      </c>
      <c r="H80" s="21" t="n">
        <v>1</v>
      </c>
      <c r="I80" s="73" t="s">
        <v>806</v>
      </c>
    </row>
    <row r="81" customFormat="false" ht="15" hidden="false" customHeight="true" outlineLevel="0" collapsed="false">
      <c r="A81" s="11" t="s">
        <v>237</v>
      </c>
      <c r="B81" s="12" t="s">
        <v>907</v>
      </c>
      <c r="C81" s="82" t="s">
        <v>232</v>
      </c>
      <c r="D81" s="75" t="s">
        <v>814</v>
      </c>
      <c r="E81" s="13" t="s">
        <v>804</v>
      </c>
      <c r="F81" s="87" t="s">
        <v>806</v>
      </c>
      <c r="G81" s="11" t="s">
        <v>805</v>
      </c>
      <c r="H81" s="15" t="n">
        <v>2</v>
      </c>
      <c r="I81" s="73" t="s">
        <v>806</v>
      </c>
    </row>
    <row r="82" customFormat="false" ht="15" hidden="false" customHeight="true" outlineLevel="0" collapsed="false">
      <c r="A82" s="18" t="s">
        <v>238</v>
      </c>
      <c r="B82" s="19" t="s">
        <v>908</v>
      </c>
      <c r="C82" s="83" t="s">
        <v>232</v>
      </c>
      <c r="D82" s="77" t="s">
        <v>814</v>
      </c>
      <c r="E82" s="20" t="s">
        <v>804</v>
      </c>
      <c r="F82" s="88" t="s">
        <v>806</v>
      </c>
      <c r="G82" s="86" t="s">
        <v>806</v>
      </c>
      <c r="H82" s="21" t="n">
        <v>8</v>
      </c>
      <c r="I82" s="73" t="s">
        <v>806</v>
      </c>
    </row>
    <row r="83" customFormat="false" ht="15" hidden="false" customHeight="true" outlineLevel="0" collapsed="false">
      <c r="A83" s="11" t="s">
        <v>241</v>
      </c>
      <c r="B83" s="12" t="s">
        <v>909</v>
      </c>
      <c r="C83" s="82" t="s">
        <v>232</v>
      </c>
      <c r="D83" s="75" t="s">
        <v>803</v>
      </c>
      <c r="E83" s="13" t="s">
        <v>804</v>
      </c>
      <c r="F83" s="87" t="s">
        <v>806</v>
      </c>
      <c r="G83" s="89" t="s">
        <v>806</v>
      </c>
      <c r="H83" s="15" t="n">
        <v>4</v>
      </c>
      <c r="I83" s="73" t="s">
        <v>806</v>
      </c>
    </row>
    <row r="84" customFormat="false" ht="15" hidden="false" customHeight="true" outlineLevel="0" collapsed="false">
      <c r="A84" s="90" t="s">
        <v>258</v>
      </c>
      <c r="B84" s="91" t="s">
        <v>910</v>
      </c>
      <c r="C84" s="92" t="s">
        <v>232</v>
      </c>
      <c r="D84" s="93" t="s">
        <v>721</v>
      </c>
      <c r="E84" s="94" t="s">
        <v>804</v>
      </c>
      <c r="F84" s="97" t="s">
        <v>806</v>
      </c>
      <c r="G84" s="95" t="s">
        <v>806</v>
      </c>
      <c r="H84" s="96" t="n">
        <v>40</v>
      </c>
      <c r="I84" s="73" t="s">
        <v>806</v>
      </c>
    </row>
    <row r="85" customFormat="false" ht="15" hidden="false" customHeight="true" outlineLevel="0" collapsed="false">
      <c r="A85" s="90" t="s">
        <v>260</v>
      </c>
      <c r="B85" s="91" t="s">
        <v>911</v>
      </c>
      <c r="C85" s="92" t="s">
        <v>232</v>
      </c>
      <c r="D85" s="93" t="s">
        <v>721</v>
      </c>
      <c r="E85" s="94" t="s">
        <v>804</v>
      </c>
      <c r="F85" s="97" t="s">
        <v>806</v>
      </c>
      <c r="G85" s="90" t="s">
        <v>805</v>
      </c>
      <c r="H85" s="96" t="n">
        <v>1</v>
      </c>
      <c r="I85" s="73" t="s">
        <v>806</v>
      </c>
    </row>
    <row r="86" customFormat="false" ht="15" hidden="false" customHeight="true" outlineLevel="0" collapsed="false">
      <c r="A86" s="90" t="s">
        <v>268</v>
      </c>
      <c r="B86" s="91" t="s">
        <v>912</v>
      </c>
      <c r="C86" s="92" t="s">
        <v>232</v>
      </c>
      <c r="D86" s="93" t="s">
        <v>721</v>
      </c>
      <c r="E86" s="94" t="s">
        <v>804</v>
      </c>
      <c r="F86" s="97" t="s">
        <v>806</v>
      </c>
      <c r="G86" s="90" t="s">
        <v>805</v>
      </c>
      <c r="H86" s="96" t="n">
        <v>1</v>
      </c>
      <c r="I86" s="73" t="s">
        <v>806</v>
      </c>
    </row>
    <row r="87" customFormat="false" ht="15" hidden="false" customHeight="true" outlineLevel="0" collapsed="false">
      <c r="A87" s="90" t="s">
        <v>269</v>
      </c>
      <c r="B87" s="91" t="s">
        <v>913</v>
      </c>
      <c r="C87" s="92" t="s">
        <v>232</v>
      </c>
      <c r="D87" s="93" t="s">
        <v>721</v>
      </c>
      <c r="E87" s="94" t="s">
        <v>804</v>
      </c>
      <c r="F87" s="97" t="s">
        <v>806</v>
      </c>
      <c r="G87" s="90" t="s">
        <v>805</v>
      </c>
      <c r="H87" s="96" t="n">
        <v>2</v>
      </c>
      <c r="I87" s="73" t="s">
        <v>806</v>
      </c>
    </row>
    <row r="88" customFormat="false" ht="15" hidden="false" customHeight="true" outlineLevel="0" collapsed="false">
      <c r="A88" s="90" t="s">
        <v>271</v>
      </c>
      <c r="B88" s="91" t="s">
        <v>914</v>
      </c>
      <c r="C88" s="92" t="s">
        <v>232</v>
      </c>
      <c r="D88" s="93" t="s">
        <v>721</v>
      </c>
      <c r="E88" s="94" t="s">
        <v>804</v>
      </c>
      <c r="F88" s="97" t="s">
        <v>806</v>
      </c>
      <c r="G88" s="90" t="s">
        <v>805</v>
      </c>
      <c r="H88" s="96" t="n">
        <v>2</v>
      </c>
      <c r="I88" s="73" t="s">
        <v>806</v>
      </c>
    </row>
    <row r="89" customFormat="false" ht="15" hidden="false" customHeight="true" outlineLevel="0" collapsed="false">
      <c r="A89" s="90" t="s">
        <v>272</v>
      </c>
      <c r="B89" s="91" t="s">
        <v>915</v>
      </c>
      <c r="C89" s="92" t="s">
        <v>232</v>
      </c>
      <c r="D89" s="93" t="s">
        <v>721</v>
      </c>
      <c r="E89" s="94" t="s">
        <v>804</v>
      </c>
      <c r="F89" s="97" t="s">
        <v>806</v>
      </c>
      <c r="G89" s="90" t="s">
        <v>805</v>
      </c>
      <c r="H89" s="96" t="n">
        <v>2</v>
      </c>
      <c r="I89" s="73" t="s">
        <v>806</v>
      </c>
    </row>
    <row r="90" customFormat="false" ht="15" hidden="false" customHeight="true" outlineLevel="0" collapsed="false">
      <c r="A90" s="18" t="s">
        <v>152</v>
      </c>
      <c r="B90" s="19" t="s">
        <v>916</v>
      </c>
      <c r="C90" s="83" t="s">
        <v>151</v>
      </c>
      <c r="D90" s="77" t="s">
        <v>917</v>
      </c>
      <c r="E90" s="20" t="s">
        <v>804</v>
      </c>
      <c r="F90" s="88" t="s">
        <v>806</v>
      </c>
      <c r="G90" s="18" t="s">
        <v>805</v>
      </c>
      <c r="H90" s="21" t="n">
        <v>1</v>
      </c>
      <c r="I90" s="73" t="s">
        <v>806</v>
      </c>
    </row>
    <row r="91" customFormat="false" ht="15" hidden="false" customHeight="true" outlineLevel="0" collapsed="false">
      <c r="A91" s="11" t="s">
        <v>175</v>
      </c>
      <c r="B91" s="12" t="s">
        <v>918</v>
      </c>
      <c r="C91" s="82" t="s">
        <v>173</v>
      </c>
      <c r="D91" s="75" t="s">
        <v>808</v>
      </c>
      <c r="E91" s="13" t="s">
        <v>804</v>
      </c>
      <c r="F91" s="87" t="s">
        <v>806</v>
      </c>
      <c r="G91" s="11" t="s">
        <v>805</v>
      </c>
      <c r="H91" s="15" t="n">
        <v>1</v>
      </c>
      <c r="I91" s="73" t="s">
        <v>806</v>
      </c>
    </row>
    <row r="92" customFormat="false" ht="15" hidden="false" customHeight="true" outlineLevel="0" collapsed="false">
      <c r="A92" s="18" t="s">
        <v>176</v>
      </c>
      <c r="B92" s="19" t="s">
        <v>919</v>
      </c>
      <c r="C92" s="83" t="s">
        <v>173</v>
      </c>
      <c r="D92" s="77" t="s">
        <v>808</v>
      </c>
      <c r="E92" s="20" t="s">
        <v>920</v>
      </c>
      <c r="F92" s="88" t="s">
        <v>806</v>
      </c>
      <c r="G92" s="86" t="s">
        <v>806</v>
      </c>
      <c r="H92" s="21" t="n">
        <v>8</v>
      </c>
      <c r="I92" s="73" t="s">
        <v>806</v>
      </c>
    </row>
    <row r="93" customFormat="false" ht="15" hidden="false" customHeight="true" outlineLevel="0" collapsed="false">
      <c r="A93" s="11" t="s">
        <v>178</v>
      </c>
      <c r="B93" s="12" t="s">
        <v>921</v>
      </c>
      <c r="C93" s="82" t="s">
        <v>173</v>
      </c>
      <c r="D93" s="75" t="s">
        <v>808</v>
      </c>
      <c r="E93" s="13" t="s">
        <v>804</v>
      </c>
      <c r="F93" s="87" t="s">
        <v>806</v>
      </c>
      <c r="G93" s="89" t="s">
        <v>806</v>
      </c>
      <c r="H93" s="15" t="n">
        <v>5</v>
      </c>
      <c r="I93" s="73" t="s">
        <v>806</v>
      </c>
    </row>
    <row r="94" customFormat="false" ht="15" hidden="false" customHeight="true" outlineLevel="0" collapsed="false">
      <c r="A94" s="18" t="s">
        <v>180</v>
      </c>
      <c r="B94" s="19" t="s">
        <v>922</v>
      </c>
      <c r="C94" s="83" t="s">
        <v>173</v>
      </c>
      <c r="D94" s="77" t="s">
        <v>808</v>
      </c>
      <c r="E94" s="20" t="s">
        <v>809</v>
      </c>
      <c r="F94" s="88" t="s">
        <v>806</v>
      </c>
      <c r="G94" s="18" t="s">
        <v>805</v>
      </c>
      <c r="H94" s="21" t="n">
        <v>1</v>
      </c>
      <c r="I94" s="73" t="s">
        <v>806</v>
      </c>
    </row>
    <row r="95" customFormat="false" ht="15" hidden="false" customHeight="true" outlineLevel="0" collapsed="false">
      <c r="A95" s="11" t="s">
        <v>413</v>
      </c>
      <c r="B95" s="12" t="s">
        <v>923</v>
      </c>
      <c r="C95" s="82" t="s">
        <v>173</v>
      </c>
      <c r="D95" s="75" t="s">
        <v>814</v>
      </c>
      <c r="E95" s="13" t="s">
        <v>924</v>
      </c>
      <c r="F95" s="11" t="s">
        <v>805</v>
      </c>
      <c r="G95" s="89" t="s">
        <v>806</v>
      </c>
      <c r="H95" s="15" t="n">
        <v>2</v>
      </c>
      <c r="I95" s="73" t="s">
        <v>806</v>
      </c>
    </row>
    <row r="96" customFormat="false" ht="15" hidden="false" customHeight="true" outlineLevel="0" collapsed="false">
      <c r="A96" s="18" t="s">
        <v>181</v>
      </c>
      <c r="B96" s="19" t="s">
        <v>925</v>
      </c>
      <c r="C96" s="83" t="s">
        <v>173</v>
      </c>
      <c r="D96" s="77" t="s">
        <v>814</v>
      </c>
      <c r="E96" s="20" t="s">
        <v>804</v>
      </c>
      <c r="F96" s="88" t="s">
        <v>806</v>
      </c>
      <c r="G96" s="86" t="s">
        <v>806</v>
      </c>
      <c r="H96" s="21" t="n">
        <v>1</v>
      </c>
      <c r="I96" s="73" t="s">
        <v>806</v>
      </c>
    </row>
    <row r="97" customFormat="false" ht="15" hidden="false" customHeight="true" outlineLevel="0" collapsed="false">
      <c r="A97" s="11" t="s">
        <v>183</v>
      </c>
      <c r="B97" s="12" t="s">
        <v>926</v>
      </c>
      <c r="C97" s="82" t="s">
        <v>173</v>
      </c>
      <c r="D97" s="75" t="s">
        <v>814</v>
      </c>
      <c r="E97" s="13" t="s">
        <v>858</v>
      </c>
      <c r="F97" s="87" t="s">
        <v>806</v>
      </c>
      <c r="G97" s="11" t="s">
        <v>805</v>
      </c>
      <c r="H97" s="15" t="n">
        <v>6</v>
      </c>
      <c r="I97" s="73" t="s">
        <v>806</v>
      </c>
    </row>
    <row r="98" customFormat="false" ht="15" hidden="false" customHeight="true" outlineLevel="0" collapsed="false">
      <c r="A98" s="18" t="s">
        <v>415</v>
      </c>
      <c r="B98" s="19" t="s">
        <v>927</v>
      </c>
      <c r="C98" s="83" t="s">
        <v>173</v>
      </c>
      <c r="D98" s="77" t="s">
        <v>814</v>
      </c>
      <c r="E98" s="20" t="s">
        <v>804</v>
      </c>
      <c r="F98" s="18" t="s">
        <v>805</v>
      </c>
      <c r="G98" s="86" t="s">
        <v>806</v>
      </c>
      <c r="H98" s="21" t="n">
        <v>1</v>
      </c>
      <c r="I98" s="73" t="s">
        <v>806</v>
      </c>
    </row>
    <row r="99" customFormat="false" ht="15" hidden="false" customHeight="true" outlineLevel="0" collapsed="false">
      <c r="A99" s="11" t="s">
        <v>185</v>
      </c>
      <c r="B99" s="12" t="s">
        <v>928</v>
      </c>
      <c r="C99" s="82" t="s">
        <v>173</v>
      </c>
      <c r="D99" s="75" t="s">
        <v>814</v>
      </c>
      <c r="E99" s="13" t="s">
        <v>839</v>
      </c>
      <c r="F99" s="87" t="s">
        <v>806</v>
      </c>
      <c r="G99" s="89" t="s">
        <v>806</v>
      </c>
      <c r="H99" s="15" t="n">
        <v>6</v>
      </c>
      <c r="I99" s="73" t="s">
        <v>806</v>
      </c>
    </row>
    <row r="100" customFormat="false" ht="15" hidden="false" customHeight="true" outlineLevel="0" collapsed="false">
      <c r="A100" s="18" t="s">
        <v>187</v>
      </c>
      <c r="B100" s="19" t="s">
        <v>929</v>
      </c>
      <c r="C100" s="83" t="s">
        <v>173</v>
      </c>
      <c r="D100" s="77" t="s">
        <v>814</v>
      </c>
      <c r="E100" s="20" t="s">
        <v>804</v>
      </c>
      <c r="F100" s="88" t="s">
        <v>806</v>
      </c>
      <c r="G100" s="86" t="s">
        <v>806</v>
      </c>
      <c r="H100" s="21" t="n">
        <v>2</v>
      </c>
      <c r="I100" s="73" t="s">
        <v>806</v>
      </c>
    </row>
    <row r="101" customFormat="false" ht="15" hidden="false" customHeight="true" outlineLevel="0" collapsed="false">
      <c r="A101" s="11" t="s">
        <v>189</v>
      </c>
      <c r="B101" s="12" t="s">
        <v>930</v>
      </c>
      <c r="C101" s="82" t="s">
        <v>173</v>
      </c>
      <c r="D101" s="75" t="s">
        <v>814</v>
      </c>
      <c r="E101" s="13" t="s">
        <v>804</v>
      </c>
      <c r="F101" s="87" t="s">
        <v>806</v>
      </c>
      <c r="G101" s="11" t="s">
        <v>805</v>
      </c>
      <c r="H101" s="15" t="n">
        <v>3</v>
      </c>
      <c r="I101" s="73" t="s">
        <v>806</v>
      </c>
    </row>
    <row r="102" customFormat="false" ht="15" hidden="false" customHeight="true" outlineLevel="0" collapsed="false">
      <c r="A102" s="18" t="s">
        <v>191</v>
      </c>
      <c r="B102" s="19" t="s">
        <v>931</v>
      </c>
      <c r="C102" s="83" t="s">
        <v>173</v>
      </c>
      <c r="D102" s="77" t="s">
        <v>814</v>
      </c>
      <c r="E102" s="20" t="s">
        <v>845</v>
      </c>
      <c r="F102" s="88" t="s">
        <v>806</v>
      </c>
      <c r="G102" s="86" t="s">
        <v>806</v>
      </c>
      <c r="H102" s="21" t="n">
        <v>4</v>
      </c>
      <c r="I102" s="73" t="s">
        <v>806</v>
      </c>
    </row>
    <row r="103" customFormat="false" ht="15" hidden="false" customHeight="true" outlineLevel="0" collapsed="false">
      <c r="A103" s="11" t="s">
        <v>193</v>
      </c>
      <c r="B103" s="12" t="s">
        <v>932</v>
      </c>
      <c r="C103" s="82" t="s">
        <v>173</v>
      </c>
      <c r="D103" s="75" t="s">
        <v>814</v>
      </c>
      <c r="E103" s="13" t="s">
        <v>804</v>
      </c>
      <c r="F103" s="87" t="s">
        <v>806</v>
      </c>
      <c r="G103" s="11" t="s">
        <v>805</v>
      </c>
      <c r="H103" s="15" t="n">
        <v>1</v>
      </c>
      <c r="I103" s="73" t="s">
        <v>806</v>
      </c>
    </row>
    <row r="104" customFormat="false" ht="15" hidden="false" customHeight="true" outlineLevel="0" collapsed="false">
      <c r="A104" s="18" t="s">
        <v>194</v>
      </c>
      <c r="B104" s="19" t="s">
        <v>933</v>
      </c>
      <c r="C104" s="83" t="s">
        <v>173</v>
      </c>
      <c r="D104" s="77" t="s">
        <v>814</v>
      </c>
      <c r="E104" s="20" t="s">
        <v>845</v>
      </c>
      <c r="F104" s="88" t="s">
        <v>806</v>
      </c>
      <c r="G104" s="86" t="s">
        <v>806</v>
      </c>
      <c r="H104" s="21" t="n">
        <v>4</v>
      </c>
      <c r="I104" s="73" t="s">
        <v>806</v>
      </c>
    </row>
    <row r="105" customFormat="false" ht="15" hidden="false" customHeight="true" outlineLevel="0" collapsed="false">
      <c r="A105" s="11" t="s">
        <v>195</v>
      </c>
      <c r="B105" s="12" t="s">
        <v>934</v>
      </c>
      <c r="C105" s="82" t="s">
        <v>173</v>
      </c>
      <c r="D105" s="75" t="s">
        <v>814</v>
      </c>
      <c r="E105" s="13" t="s">
        <v>924</v>
      </c>
      <c r="F105" s="87" t="s">
        <v>806</v>
      </c>
      <c r="G105" s="89" t="s">
        <v>806</v>
      </c>
      <c r="H105" s="15" t="n">
        <v>4</v>
      </c>
      <c r="I105" s="73" t="s">
        <v>806</v>
      </c>
    </row>
    <row r="106" customFormat="false" ht="15" hidden="false" customHeight="true" outlineLevel="0" collapsed="false">
      <c r="A106" s="18" t="s">
        <v>197</v>
      </c>
      <c r="B106" s="19" t="s">
        <v>935</v>
      </c>
      <c r="C106" s="83" t="s">
        <v>173</v>
      </c>
      <c r="D106" s="77" t="s">
        <v>814</v>
      </c>
      <c r="E106" s="20" t="s">
        <v>804</v>
      </c>
      <c r="F106" s="88" t="s">
        <v>806</v>
      </c>
      <c r="G106" s="18" t="s">
        <v>805</v>
      </c>
      <c r="H106" s="21" t="n">
        <v>8</v>
      </c>
      <c r="I106" s="73" t="s">
        <v>806</v>
      </c>
    </row>
    <row r="107" customFormat="false" ht="15" hidden="false" customHeight="true" outlineLevel="0" collapsed="false">
      <c r="A107" s="11" t="s">
        <v>199</v>
      </c>
      <c r="B107" s="12" t="s">
        <v>936</v>
      </c>
      <c r="C107" s="82" t="s">
        <v>173</v>
      </c>
      <c r="D107" s="75" t="s">
        <v>814</v>
      </c>
      <c r="E107" s="13" t="s">
        <v>804</v>
      </c>
      <c r="F107" s="87" t="s">
        <v>806</v>
      </c>
      <c r="G107" s="11" t="s">
        <v>805</v>
      </c>
      <c r="H107" s="15" t="n">
        <v>2</v>
      </c>
      <c r="I107" s="73" t="s">
        <v>806</v>
      </c>
    </row>
    <row r="108" customFormat="false" ht="15" hidden="false" customHeight="true" outlineLevel="0" collapsed="false">
      <c r="A108" s="18" t="s">
        <v>200</v>
      </c>
      <c r="B108" s="19" t="s">
        <v>937</v>
      </c>
      <c r="C108" s="83" t="s">
        <v>173</v>
      </c>
      <c r="D108" s="77" t="s">
        <v>814</v>
      </c>
      <c r="E108" s="20" t="s">
        <v>804</v>
      </c>
      <c r="F108" s="88" t="s">
        <v>806</v>
      </c>
      <c r="G108" s="86" t="s">
        <v>806</v>
      </c>
      <c r="H108" s="21" t="n">
        <v>1</v>
      </c>
      <c r="I108" s="73" t="s">
        <v>806</v>
      </c>
    </row>
    <row r="109" customFormat="false" ht="15" hidden="false" customHeight="true" outlineLevel="0" collapsed="false">
      <c r="A109" s="11" t="s">
        <v>201</v>
      </c>
      <c r="B109" s="12" t="s">
        <v>938</v>
      </c>
      <c r="C109" s="82" t="s">
        <v>173</v>
      </c>
      <c r="D109" s="75" t="s">
        <v>814</v>
      </c>
      <c r="E109" s="13" t="s">
        <v>804</v>
      </c>
      <c r="F109" s="87" t="s">
        <v>806</v>
      </c>
      <c r="G109" s="89" t="s">
        <v>806</v>
      </c>
      <c r="H109" s="15" t="n">
        <v>8</v>
      </c>
      <c r="I109" s="73" t="s">
        <v>806</v>
      </c>
    </row>
    <row r="110" customFormat="false" ht="15" hidden="false" customHeight="true" outlineLevel="0" collapsed="false">
      <c r="A110" s="18" t="s">
        <v>423</v>
      </c>
      <c r="B110" s="19" t="s">
        <v>939</v>
      </c>
      <c r="C110" s="83" t="s">
        <v>173</v>
      </c>
      <c r="D110" s="77" t="s">
        <v>814</v>
      </c>
      <c r="E110" s="20" t="s">
        <v>804</v>
      </c>
      <c r="F110" s="18" t="s">
        <v>805</v>
      </c>
      <c r="G110" s="86" t="s">
        <v>806</v>
      </c>
      <c r="H110" s="21" t="n">
        <v>1</v>
      </c>
      <c r="I110" s="73" t="s">
        <v>806</v>
      </c>
    </row>
    <row r="111" customFormat="false" ht="15" hidden="false" customHeight="true" outlineLevel="0" collapsed="false">
      <c r="A111" s="11" t="s">
        <v>203</v>
      </c>
      <c r="B111" s="12" t="s">
        <v>940</v>
      </c>
      <c r="C111" s="82" t="s">
        <v>173</v>
      </c>
      <c r="D111" s="75" t="s">
        <v>814</v>
      </c>
      <c r="E111" s="13" t="s">
        <v>804</v>
      </c>
      <c r="F111" s="87" t="s">
        <v>806</v>
      </c>
      <c r="G111" s="11" t="s">
        <v>805</v>
      </c>
      <c r="H111" s="15" t="n">
        <v>2</v>
      </c>
      <c r="I111" s="73" t="s">
        <v>806</v>
      </c>
    </row>
    <row r="112" customFormat="false" ht="15" hidden="false" customHeight="true" outlineLevel="0" collapsed="false">
      <c r="A112" s="18" t="s">
        <v>205</v>
      </c>
      <c r="B112" s="19" t="s">
        <v>941</v>
      </c>
      <c r="C112" s="83" t="s">
        <v>173</v>
      </c>
      <c r="D112" s="77" t="s">
        <v>814</v>
      </c>
      <c r="E112" s="20" t="s">
        <v>804</v>
      </c>
      <c r="F112" s="88" t="s">
        <v>806</v>
      </c>
      <c r="G112" s="86" t="s">
        <v>806</v>
      </c>
      <c r="H112" s="21" t="n">
        <v>10</v>
      </c>
      <c r="I112" s="73" t="s">
        <v>806</v>
      </c>
    </row>
    <row r="113" customFormat="false" ht="15" hidden="false" customHeight="true" outlineLevel="0" collapsed="false">
      <c r="A113" s="11" t="s">
        <v>207</v>
      </c>
      <c r="B113" s="12" t="s">
        <v>942</v>
      </c>
      <c r="C113" s="82" t="s">
        <v>173</v>
      </c>
      <c r="D113" s="75" t="s">
        <v>721</v>
      </c>
      <c r="E113" s="13" t="s">
        <v>924</v>
      </c>
      <c r="F113" s="87" t="s">
        <v>806</v>
      </c>
      <c r="G113" s="89" t="s">
        <v>806</v>
      </c>
      <c r="H113" s="15" t="n">
        <v>6</v>
      </c>
      <c r="I113" s="73" t="s">
        <v>806</v>
      </c>
    </row>
    <row r="114" customFormat="false" ht="15" hidden="false" customHeight="true" outlineLevel="0" collapsed="false">
      <c r="A114" s="18" t="s">
        <v>426</v>
      </c>
      <c r="B114" s="19" t="s">
        <v>943</v>
      </c>
      <c r="C114" s="83" t="s">
        <v>173</v>
      </c>
      <c r="D114" s="77" t="s">
        <v>721</v>
      </c>
      <c r="E114" s="20" t="s">
        <v>804</v>
      </c>
      <c r="F114" s="18" t="s">
        <v>805</v>
      </c>
      <c r="G114" s="86" t="s">
        <v>806</v>
      </c>
      <c r="H114" s="21" t="n">
        <v>1</v>
      </c>
      <c r="I114" s="73" t="s">
        <v>806</v>
      </c>
    </row>
    <row r="115" customFormat="false" ht="15" hidden="false" customHeight="true" outlineLevel="0" collapsed="false">
      <c r="A115" s="11" t="s">
        <v>209</v>
      </c>
      <c r="B115" s="12" t="s">
        <v>944</v>
      </c>
      <c r="C115" s="82" t="s">
        <v>173</v>
      </c>
      <c r="D115" s="75" t="s">
        <v>721</v>
      </c>
      <c r="E115" s="13" t="s">
        <v>804</v>
      </c>
      <c r="F115" s="87" t="s">
        <v>806</v>
      </c>
      <c r="G115" s="11" t="s">
        <v>805</v>
      </c>
      <c r="H115" s="15" t="n">
        <v>1</v>
      </c>
      <c r="I115" s="73" t="s">
        <v>806</v>
      </c>
    </row>
    <row r="116" customFormat="false" ht="15" hidden="false" customHeight="true" outlineLevel="0" collapsed="false">
      <c r="A116" s="18" t="s">
        <v>210</v>
      </c>
      <c r="B116" s="19" t="s">
        <v>945</v>
      </c>
      <c r="C116" s="83" t="s">
        <v>173</v>
      </c>
      <c r="D116" s="77" t="s">
        <v>721</v>
      </c>
      <c r="E116" s="20" t="s">
        <v>833</v>
      </c>
      <c r="F116" s="88" t="s">
        <v>806</v>
      </c>
      <c r="G116" s="86" t="s">
        <v>806</v>
      </c>
      <c r="H116" s="21" t="n">
        <v>12</v>
      </c>
      <c r="I116" s="73" t="s">
        <v>806</v>
      </c>
    </row>
    <row r="117" customFormat="false" ht="15" hidden="false" customHeight="true" outlineLevel="0" collapsed="false">
      <c r="A117" s="11" t="s">
        <v>212</v>
      </c>
      <c r="B117" s="12" t="s">
        <v>946</v>
      </c>
      <c r="C117" s="82" t="s">
        <v>173</v>
      </c>
      <c r="D117" s="75" t="s">
        <v>721</v>
      </c>
      <c r="E117" s="13" t="s">
        <v>824</v>
      </c>
      <c r="F117" s="87" t="s">
        <v>806</v>
      </c>
      <c r="G117" s="89" t="s">
        <v>806</v>
      </c>
      <c r="H117" s="15" t="n">
        <v>6</v>
      </c>
      <c r="I117" s="73" t="s">
        <v>806</v>
      </c>
    </row>
    <row r="118" customFormat="false" ht="15" hidden="false" customHeight="true" outlineLevel="0" collapsed="false">
      <c r="A118" s="18" t="s">
        <v>214</v>
      </c>
      <c r="B118" s="19" t="s">
        <v>947</v>
      </c>
      <c r="C118" s="83" t="s">
        <v>173</v>
      </c>
      <c r="D118" s="77" t="s">
        <v>721</v>
      </c>
      <c r="E118" s="20" t="s">
        <v>804</v>
      </c>
      <c r="F118" s="88" t="s">
        <v>806</v>
      </c>
      <c r="G118" s="86" t="s">
        <v>806</v>
      </c>
      <c r="H118" s="21" t="n">
        <v>3</v>
      </c>
      <c r="I118" s="73" t="s">
        <v>806</v>
      </c>
    </row>
    <row r="119" customFormat="false" ht="15" hidden="false" customHeight="true" outlineLevel="0" collapsed="false">
      <c r="A119" s="11" t="s">
        <v>216</v>
      </c>
      <c r="B119" s="12" t="s">
        <v>948</v>
      </c>
      <c r="C119" s="82" t="s">
        <v>173</v>
      </c>
      <c r="D119" s="75" t="s">
        <v>721</v>
      </c>
      <c r="E119" s="13" t="s">
        <v>804</v>
      </c>
      <c r="F119" s="87" t="s">
        <v>806</v>
      </c>
      <c r="G119" s="11" t="s">
        <v>805</v>
      </c>
      <c r="H119" s="15" t="n">
        <v>5</v>
      </c>
      <c r="I119" s="73" t="s">
        <v>806</v>
      </c>
    </row>
    <row r="120" customFormat="false" ht="15" hidden="false" customHeight="true" outlineLevel="0" collapsed="false">
      <c r="A120" s="18" t="s">
        <v>218</v>
      </c>
      <c r="B120" s="19" t="s">
        <v>949</v>
      </c>
      <c r="C120" s="83" t="s">
        <v>173</v>
      </c>
      <c r="D120" s="77" t="s">
        <v>830</v>
      </c>
      <c r="E120" s="20" t="s">
        <v>831</v>
      </c>
      <c r="F120" s="88" t="s">
        <v>806</v>
      </c>
      <c r="G120" s="86" t="s">
        <v>806</v>
      </c>
      <c r="H120" s="21" t="n">
        <v>12</v>
      </c>
      <c r="I120" s="73" t="s">
        <v>806</v>
      </c>
    </row>
    <row r="121" customFormat="false" ht="15" hidden="false" customHeight="true" outlineLevel="0" collapsed="false">
      <c r="A121" s="11" t="s">
        <v>220</v>
      </c>
      <c r="B121" s="12" t="s">
        <v>950</v>
      </c>
      <c r="C121" s="82" t="s">
        <v>173</v>
      </c>
      <c r="D121" s="75" t="s">
        <v>830</v>
      </c>
      <c r="E121" s="13" t="s">
        <v>837</v>
      </c>
      <c r="F121" s="87" t="s">
        <v>806</v>
      </c>
      <c r="G121" s="11" t="s">
        <v>805</v>
      </c>
      <c r="H121" s="15" t="n">
        <v>11</v>
      </c>
      <c r="I121" s="73" t="s">
        <v>806</v>
      </c>
    </row>
    <row r="122" customFormat="false" ht="15" hidden="false" customHeight="true" outlineLevel="0" collapsed="false">
      <c r="A122" s="18" t="s">
        <v>222</v>
      </c>
      <c r="B122" s="19" t="s">
        <v>951</v>
      </c>
      <c r="C122" s="83" t="s">
        <v>173</v>
      </c>
      <c r="D122" s="77" t="s">
        <v>836</v>
      </c>
      <c r="E122" s="20" t="s">
        <v>809</v>
      </c>
      <c r="F122" s="88" t="s">
        <v>806</v>
      </c>
      <c r="G122" s="18" t="s">
        <v>805</v>
      </c>
      <c r="H122" s="21" t="n">
        <v>1</v>
      </c>
      <c r="I122" s="73" t="s">
        <v>806</v>
      </c>
    </row>
    <row r="123" customFormat="false" ht="15" hidden="false" customHeight="true" outlineLevel="0" collapsed="false">
      <c r="A123" s="11" t="s">
        <v>223</v>
      </c>
      <c r="B123" s="12" t="s">
        <v>952</v>
      </c>
      <c r="C123" s="82" t="s">
        <v>173</v>
      </c>
      <c r="D123" s="75" t="s">
        <v>836</v>
      </c>
      <c r="E123" s="13" t="s">
        <v>809</v>
      </c>
      <c r="F123" s="87" t="s">
        <v>806</v>
      </c>
      <c r="G123" s="11" t="s">
        <v>805</v>
      </c>
      <c r="H123" s="15" t="n">
        <v>1</v>
      </c>
      <c r="I123" s="73" t="s">
        <v>806</v>
      </c>
    </row>
    <row r="124" customFormat="false" ht="15" hidden="false" customHeight="true" outlineLevel="0" collapsed="false">
      <c r="A124" s="18" t="s">
        <v>430</v>
      </c>
      <c r="B124" s="19" t="s">
        <v>953</v>
      </c>
      <c r="C124" s="83" t="s">
        <v>173</v>
      </c>
      <c r="D124" s="77" t="s">
        <v>836</v>
      </c>
      <c r="E124" s="20" t="s">
        <v>804</v>
      </c>
      <c r="F124" s="18" t="s">
        <v>805</v>
      </c>
      <c r="G124" s="86" t="s">
        <v>806</v>
      </c>
      <c r="H124" s="21" t="n">
        <v>2</v>
      </c>
      <c r="I124" s="73" t="s">
        <v>806</v>
      </c>
    </row>
    <row r="125" customFormat="false" ht="15" hidden="false" customHeight="true" outlineLevel="0" collapsed="false">
      <c r="A125" s="11" t="s">
        <v>224</v>
      </c>
      <c r="B125" s="12" t="s">
        <v>954</v>
      </c>
      <c r="C125" s="82" t="s">
        <v>173</v>
      </c>
      <c r="D125" s="75" t="s">
        <v>836</v>
      </c>
      <c r="E125" s="13" t="s">
        <v>824</v>
      </c>
      <c r="F125" s="87" t="s">
        <v>806</v>
      </c>
      <c r="G125" s="89" t="s">
        <v>806</v>
      </c>
      <c r="H125" s="15" t="n">
        <v>6</v>
      </c>
      <c r="I125" s="73" t="s">
        <v>806</v>
      </c>
    </row>
    <row r="126" customFormat="false" ht="15" hidden="false" customHeight="true" outlineLevel="0" collapsed="false">
      <c r="A126" s="18" t="s">
        <v>432</v>
      </c>
      <c r="B126" s="19" t="s">
        <v>955</v>
      </c>
      <c r="C126" s="83" t="s">
        <v>173</v>
      </c>
      <c r="D126" s="77" t="s">
        <v>836</v>
      </c>
      <c r="E126" s="20" t="s">
        <v>809</v>
      </c>
      <c r="F126" s="18" t="s">
        <v>805</v>
      </c>
      <c r="G126" s="86" t="s">
        <v>806</v>
      </c>
      <c r="H126" s="21" t="n">
        <v>2</v>
      </c>
      <c r="I126" s="73" t="s">
        <v>806</v>
      </c>
    </row>
    <row r="127" customFormat="false" ht="15" hidden="false" customHeight="true" outlineLevel="0" collapsed="false">
      <c r="A127" s="11" t="s">
        <v>433</v>
      </c>
      <c r="B127" s="12" t="s">
        <v>956</v>
      </c>
      <c r="C127" s="82" t="s">
        <v>173</v>
      </c>
      <c r="D127" s="75" t="s">
        <v>836</v>
      </c>
      <c r="E127" s="13" t="s">
        <v>804</v>
      </c>
      <c r="F127" s="11" t="s">
        <v>805</v>
      </c>
      <c r="G127" s="89" t="s">
        <v>806</v>
      </c>
      <c r="H127" s="15" t="n">
        <v>1</v>
      </c>
      <c r="I127" s="73" t="s">
        <v>806</v>
      </c>
    </row>
    <row r="128" customFormat="false" ht="15" hidden="false" customHeight="true" outlineLevel="0" collapsed="false">
      <c r="A128" s="18" t="s">
        <v>434</v>
      </c>
      <c r="B128" s="19" t="s">
        <v>957</v>
      </c>
      <c r="C128" s="83" t="s">
        <v>173</v>
      </c>
      <c r="D128" s="77" t="s">
        <v>836</v>
      </c>
      <c r="E128" s="20" t="s">
        <v>809</v>
      </c>
      <c r="F128" s="18" t="s">
        <v>805</v>
      </c>
      <c r="G128" s="86" t="s">
        <v>806</v>
      </c>
      <c r="H128" s="21" t="n">
        <v>3</v>
      </c>
      <c r="I128" s="73" t="s">
        <v>806</v>
      </c>
    </row>
    <row r="129" customFormat="false" ht="15" hidden="false" customHeight="true" outlineLevel="0" collapsed="false">
      <c r="A129" s="11" t="s">
        <v>226</v>
      </c>
      <c r="B129" s="12" t="s">
        <v>958</v>
      </c>
      <c r="C129" s="82" t="s">
        <v>173</v>
      </c>
      <c r="D129" s="75" t="s">
        <v>836</v>
      </c>
      <c r="E129" s="13" t="s">
        <v>860</v>
      </c>
      <c r="F129" s="87" t="s">
        <v>806</v>
      </c>
      <c r="G129" s="11" t="s">
        <v>805</v>
      </c>
      <c r="H129" s="15" t="n">
        <v>1</v>
      </c>
      <c r="I129" s="73" t="s">
        <v>806</v>
      </c>
    </row>
    <row r="130" customFormat="false" ht="15" hidden="false" customHeight="true" outlineLevel="0" collapsed="false">
      <c r="A130" s="18" t="s">
        <v>227</v>
      </c>
      <c r="B130" s="19" t="s">
        <v>959</v>
      </c>
      <c r="C130" s="83" t="s">
        <v>173</v>
      </c>
      <c r="D130" s="77" t="s">
        <v>836</v>
      </c>
      <c r="E130" s="20" t="s">
        <v>809</v>
      </c>
      <c r="F130" s="88" t="s">
        <v>806</v>
      </c>
      <c r="G130" s="86" t="s">
        <v>806</v>
      </c>
      <c r="H130" s="21" t="n">
        <v>1</v>
      </c>
      <c r="I130" s="73" t="s">
        <v>806</v>
      </c>
    </row>
    <row r="131" customFormat="false" ht="15" hidden="false" customHeight="true" outlineLevel="0" collapsed="false">
      <c r="A131" s="11" t="s">
        <v>435</v>
      </c>
      <c r="B131" s="12" t="s">
        <v>960</v>
      </c>
      <c r="C131" s="82" t="s">
        <v>173</v>
      </c>
      <c r="D131" s="75" t="s">
        <v>836</v>
      </c>
      <c r="E131" s="13" t="s">
        <v>809</v>
      </c>
      <c r="F131" s="11" t="s">
        <v>805</v>
      </c>
      <c r="G131" s="89" t="s">
        <v>806</v>
      </c>
      <c r="H131" s="15" t="n">
        <v>5</v>
      </c>
      <c r="I131" s="73" t="s">
        <v>806</v>
      </c>
    </row>
    <row r="132" customFormat="false" ht="15" hidden="false" customHeight="true" outlineLevel="0" collapsed="false">
      <c r="A132" s="18" t="s">
        <v>228</v>
      </c>
      <c r="B132" s="19" t="s">
        <v>961</v>
      </c>
      <c r="C132" s="83" t="s">
        <v>173</v>
      </c>
      <c r="D132" s="77" t="s">
        <v>962</v>
      </c>
      <c r="E132" s="20" t="s">
        <v>809</v>
      </c>
      <c r="F132" s="88" t="s">
        <v>806</v>
      </c>
      <c r="G132" s="86" t="s">
        <v>806</v>
      </c>
      <c r="H132" s="21" t="n">
        <v>1</v>
      </c>
      <c r="I132" s="73" t="s">
        <v>806</v>
      </c>
    </row>
    <row r="133" customFormat="false" ht="15" hidden="false" customHeight="true" outlineLevel="0" collapsed="false">
      <c r="A133" s="11" t="s">
        <v>230</v>
      </c>
      <c r="B133" s="12" t="s">
        <v>963</v>
      </c>
      <c r="C133" s="82" t="s">
        <v>173</v>
      </c>
      <c r="D133" s="75" t="s">
        <v>917</v>
      </c>
      <c r="E133" s="13" t="s">
        <v>809</v>
      </c>
      <c r="F133" s="87" t="s">
        <v>806</v>
      </c>
      <c r="G133" s="11" t="s">
        <v>805</v>
      </c>
      <c r="H133" s="15" t="n">
        <v>1</v>
      </c>
      <c r="I133" s="73" t="s">
        <v>806</v>
      </c>
    </row>
    <row r="134" customFormat="false" ht="15" hidden="false" customHeight="true" outlineLevel="0" collapsed="false">
      <c r="A134" s="90" t="s">
        <v>245</v>
      </c>
      <c r="B134" s="91" t="s">
        <v>964</v>
      </c>
      <c r="C134" s="98" t="s">
        <v>173</v>
      </c>
      <c r="D134" s="93" t="s">
        <v>808</v>
      </c>
      <c r="E134" s="94" t="s">
        <v>848</v>
      </c>
      <c r="F134" s="97" t="s">
        <v>806</v>
      </c>
      <c r="G134" s="90" t="s">
        <v>805</v>
      </c>
      <c r="H134" s="96" t="n">
        <v>1</v>
      </c>
      <c r="I134" s="73" t="s">
        <v>806</v>
      </c>
    </row>
    <row r="135" customFormat="false" ht="15" hidden="false" customHeight="true" outlineLevel="0" collapsed="false">
      <c r="A135" s="90" t="s">
        <v>247</v>
      </c>
      <c r="B135" s="91" t="s">
        <v>965</v>
      </c>
      <c r="C135" s="98" t="s">
        <v>173</v>
      </c>
      <c r="D135" s="93" t="s">
        <v>814</v>
      </c>
      <c r="E135" s="94" t="s">
        <v>850</v>
      </c>
      <c r="F135" s="97" t="s">
        <v>806</v>
      </c>
      <c r="G135" s="95" t="s">
        <v>806</v>
      </c>
      <c r="H135" s="96" t="n">
        <v>8</v>
      </c>
      <c r="I135" s="73" t="s">
        <v>806</v>
      </c>
    </row>
    <row r="136" customFormat="false" ht="15" hidden="false" customHeight="true" outlineLevel="0" collapsed="false">
      <c r="A136" s="90" t="s">
        <v>446</v>
      </c>
      <c r="B136" s="91" t="s">
        <v>966</v>
      </c>
      <c r="C136" s="98" t="s">
        <v>173</v>
      </c>
      <c r="D136" s="93" t="s">
        <v>721</v>
      </c>
      <c r="E136" s="94" t="s">
        <v>804</v>
      </c>
      <c r="F136" s="90" t="s">
        <v>805</v>
      </c>
      <c r="G136" s="95" t="s">
        <v>806</v>
      </c>
      <c r="H136" s="96" t="n">
        <v>1</v>
      </c>
      <c r="I136" s="73" t="s">
        <v>806</v>
      </c>
    </row>
    <row r="137" customFormat="false" ht="15" hidden="false" customHeight="true" outlineLevel="0" collapsed="false">
      <c r="A137" s="90" t="s">
        <v>273</v>
      </c>
      <c r="B137" s="91" t="s">
        <v>967</v>
      </c>
      <c r="C137" s="98" t="s">
        <v>173</v>
      </c>
      <c r="D137" s="93" t="s">
        <v>721</v>
      </c>
      <c r="E137" s="94" t="s">
        <v>804</v>
      </c>
      <c r="F137" s="97" t="s">
        <v>806</v>
      </c>
      <c r="G137" s="90" t="s">
        <v>805</v>
      </c>
      <c r="H137" s="96" t="n">
        <v>1</v>
      </c>
      <c r="I137" s="73" t="s">
        <v>806</v>
      </c>
    </row>
    <row r="138" customFormat="false" ht="15" hidden="false" customHeight="true" outlineLevel="0" collapsed="false">
      <c r="A138" s="11" t="s">
        <v>968</v>
      </c>
      <c r="B138" s="12" t="s">
        <v>969</v>
      </c>
      <c r="C138" s="99" t="s">
        <v>970</v>
      </c>
      <c r="D138" s="75" t="s">
        <v>803</v>
      </c>
      <c r="E138" s="13" t="s">
        <v>804</v>
      </c>
      <c r="F138" s="11" t="s">
        <v>805</v>
      </c>
      <c r="G138" s="89" t="s">
        <v>806</v>
      </c>
      <c r="H138" s="15" t="n">
        <v>2</v>
      </c>
      <c r="I138" s="73" t="s">
        <v>806</v>
      </c>
    </row>
    <row r="139" customFormat="false" ht="15" hidden="false" customHeight="true" outlineLevel="0" collapsed="false">
      <c r="A139" s="18" t="s">
        <v>156</v>
      </c>
      <c r="B139" s="19" t="s">
        <v>971</v>
      </c>
      <c r="C139" s="100" t="s">
        <v>154</v>
      </c>
      <c r="D139" s="77" t="s">
        <v>808</v>
      </c>
      <c r="E139" s="20" t="s">
        <v>809</v>
      </c>
      <c r="F139" s="88" t="s">
        <v>806</v>
      </c>
      <c r="G139" s="18" t="s">
        <v>805</v>
      </c>
      <c r="H139" s="21" t="n">
        <v>2</v>
      </c>
      <c r="I139" s="73" t="s">
        <v>806</v>
      </c>
    </row>
    <row r="140" customFormat="false" ht="15" hidden="false" customHeight="true" outlineLevel="0" collapsed="false">
      <c r="A140" s="11" t="s">
        <v>158</v>
      </c>
      <c r="B140" s="12" t="s">
        <v>972</v>
      </c>
      <c r="C140" s="99" t="s">
        <v>154</v>
      </c>
      <c r="D140" s="75" t="s">
        <v>808</v>
      </c>
      <c r="E140" s="13" t="s">
        <v>809</v>
      </c>
      <c r="F140" s="87" t="s">
        <v>806</v>
      </c>
      <c r="G140" s="89" t="s">
        <v>806</v>
      </c>
      <c r="H140" s="15" t="n">
        <v>19</v>
      </c>
      <c r="I140" s="73" t="s">
        <v>806</v>
      </c>
    </row>
    <row r="141" customFormat="false" ht="15" hidden="false" customHeight="true" outlineLevel="0" collapsed="false">
      <c r="A141" s="18" t="s">
        <v>160</v>
      </c>
      <c r="B141" s="19" t="s">
        <v>973</v>
      </c>
      <c r="C141" s="100" t="s">
        <v>154</v>
      </c>
      <c r="D141" s="77" t="s">
        <v>814</v>
      </c>
      <c r="E141" s="20" t="s">
        <v>804</v>
      </c>
      <c r="F141" s="88" t="s">
        <v>806</v>
      </c>
      <c r="G141" s="86" t="s">
        <v>806</v>
      </c>
      <c r="H141" s="21" t="n">
        <v>6</v>
      </c>
      <c r="I141" s="73" t="s">
        <v>806</v>
      </c>
    </row>
    <row r="142" customFormat="false" ht="15" hidden="false" customHeight="true" outlineLevel="0" collapsed="false">
      <c r="A142" s="11" t="s">
        <v>162</v>
      </c>
      <c r="B142" s="12" t="s">
        <v>974</v>
      </c>
      <c r="C142" s="99" t="s">
        <v>154</v>
      </c>
      <c r="D142" s="75" t="s">
        <v>814</v>
      </c>
      <c r="E142" s="13" t="s">
        <v>804</v>
      </c>
      <c r="F142" s="87" t="s">
        <v>806</v>
      </c>
      <c r="G142" s="89" t="s">
        <v>806</v>
      </c>
      <c r="H142" s="15" t="n">
        <v>1</v>
      </c>
      <c r="I142" s="73" t="s">
        <v>806</v>
      </c>
    </row>
    <row r="143" customFormat="false" ht="15" hidden="false" customHeight="true" outlineLevel="0" collapsed="false">
      <c r="A143" s="18" t="s">
        <v>163</v>
      </c>
      <c r="B143" s="19" t="s">
        <v>975</v>
      </c>
      <c r="C143" s="100" t="s">
        <v>154</v>
      </c>
      <c r="D143" s="77" t="s">
        <v>814</v>
      </c>
      <c r="E143" s="20" t="s">
        <v>804</v>
      </c>
      <c r="F143" s="88" t="s">
        <v>806</v>
      </c>
      <c r="G143" s="86" t="s">
        <v>806</v>
      </c>
      <c r="H143" s="21" t="n">
        <v>11</v>
      </c>
      <c r="I143" s="73" t="s">
        <v>806</v>
      </c>
    </row>
    <row r="144" customFormat="false" ht="15" hidden="false" customHeight="true" outlineLevel="0" collapsed="false">
      <c r="A144" s="11" t="s">
        <v>165</v>
      </c>
      <c r="B144" s="12" t="s">
        <v>976</v>
      </c>
      <c r="C144" s="99" t="s">
        <v>154</v>
      </c>
      <c r="D144" s="75" t="s">
        <v>814</v>
      </c>
      <c r="E144" s="13" t="s">
        <v>804</v>
      </c>
      <c r="F144" s="87" t="s">
        <v>806</v>
      </c>
      <c r="G144" s="89" t="s">
        <v>806</v>
      </c>
      <c r="H144" s="15" t="n">
        <v>12</v>
      </c>
      <c r="I144" s="73" t="s">
        <v>806</v>
      </c>
    </row>
    <row r="145" customFormat="false" ht="15" hidden="false" customHeight="true" outlineLevel="0" collapsed="false">
      <c r="A145" s="18" t="s">
        <v>167</v>
      </c>
      <c r="B145" s="19" t="s">
        <v>977</v>
      </c>
      <c r="C145" s="100" t="s">
        <v>154</v>
      </c>
      <c r="D145" s="77" t="s">
        <v>814</v>
      </c>
      <c r="E145" s="20" t="s">
        <v>804</v>
      </c>
      <c r="F145" s="88" t="s">
        <v>806</v>
      </c>
      <c r="G145" s="86" t="s">
        <v>806</v>
      </c>
      <c r="H145" s="21" t="n">
        <v>38</v>
      </c>
      <c r="I145" s="73" t="s">
        <v>806</v>
      </c>
    </row>
    <row r="146" customFormat="false" ht="15" hidden="false" customHeight="true" outlineLevel="0" collapsed="false">
      <c r="A146" s="11" t="s">
        <v>169</v>
      </c>
      <c r="B146" s="12" t="s">
        <v>978</v>
      </c>
      <c r="C146" s="99" t="s">
        <v>154</v>
      </c>
      <c r="D146" s="75" t="s">
        <v>721</v>
      </c>
      <c r="E146" s="13" t="s">
        <v>809</v>
      </c>
      <c r="F146" s="87" t="s">
        <v>806</v>
      </c>
      <c r="G146" s="11" t="s">
        <v>805</v>
      </c>
      <c r="H146" s="15" t="n">
        <v>1</v>
      </c>
      <c r="I146" s="73" t="s">
        <v>806</v>
      </c>
    </row>
    <row r="147" customFormat="false" ht="15" hidden="false" customHeight="true" outlineLevel="0" collapsed="false">
      <c r="A147" s="18" t="s">
        <v>409</v>
      </c>
      <c r="B147" s="19" t="s">
        <v>979</v>
      </c>
      <c r="C147" s="100" t="s">
        <v>154</v>
      </c>
      <c r="D147" s="77" t="s">
        <v>721</v>
      </c>
      <c r="E147" s="20" t="s">
        <v>809</v>
      </c>
      <c r="F147" s="18" t="s">
        <v>805</v>
      </c>
      <c r="G147" s="86" t="s">
        <v>806</v>
      </c>
      <c r="H147" s="21" t="n">
        <v>2</v>
      </c>
      <c r="I147" s="73" t="s">
        <v>806</v>
      </c>
    </row>
    <row r="148" customFormat="false" ht="15" hidden="false" customHeight="true" outlineLevel="0" collapsed="false">
      <c r="A148" s="11" t="s">
        <v>170</v>
      </c>
      <c r="B148" s="12" t="s">
        <v>980</v>
      </c>
      <c r="C148" s="99" t="s">
        <v>154</v>
      </c>
      <c r="D148" s="75" t="s">
        <v>721</v>
      </c>
      <c r="E148" s="13" t="s">
        <v>809</v>
      </c>
      <c r="F148" s="87" t="s">
        <v>806</v>
      </c>
      <c r="G148" s="11" t="s">
        <v>805</v>
      </c>
      <c r="H148" s="15" t="n">
        <v>3</v>
      </c>
      <c r="I148" s="73" t="s">
        <v>806</v>
      </c>
    </row>
    <row r="149" customFormat="false" ht="15" hidden="false" customHeight="true" outlineLevel="0" collapsed="false">
      <c r="A149" s="18" t="s">
        <v>172</v>
      </c>
      <c r="B149" s="19" t="s">
        <v>981</v>
      </c>
      <c r="C149" s="100" t="s">
        <v>154</v>
      </c>
      <c r="D149" s="77" t="s">
        <v>721</v>
      </c>
      <c r="E149" s="20" t="s">
        <v>809</v>
      </c>
      <c r="F149" s="88" t="s">
        <v>806</v>
      </c>
      <c r="G149" s="18" t="s">
        <v>805</v>
      </c>
      <c r="H149" s="21" t="n">
        <v>1</v>
      </c>
      <c r="I149" s="73" t="s">
        <v>806</v>
      </c>
    </row>
    <row r="150" customFormat="false" ht="15" hidden="false" customHeight="true" outlineLevel="0" collapsed="false">
      <c r="A150" s="90" t="s">
        <v>252</v>
      </c>
      <c r="B150" s="91" t="s">
        <v>982</v>
      </c>
      <c r="C150" s="98" t="s">
        <v>154</v>
      </c>
      <c r="D150" s="93" t="s">
        <v>721</v>
      </c>
      <c r="E150" s="94" t="s">
        <v>804</v>
      </c>
      <c r="F150" s="97" t="s">
        <v>806</v>
      </c>
      <c r="G150" s="90" t="s">
        <v>805</v>
      </c>
      <c r="H150" s="96" t="n">
        <v>1</v>
      </c>
      <c r="I150" s="73" t="s">
        <v>806</v>
      </c>
    </row>
    <row r="151" customFormat="false" ht="15" hidden="false" customHeight="true" outlineLevel="0" collapsed="false">
      <c r="A151" s="90" t="s">
        <v>266</v>
      </c>
      <c r="B151" s="91" t="s">
        <v>983</v>
      </c>
      <c r="C151" s="98" t="s">
        <v>154</v>
      </c>
      <c r="D151" s="93" t="s">
        <v>721</v>
      </c>
      <c r="E151" s="94" t="s">
        <v>804</v>
      </c>
      <c r="F151" s="97" t="s">
        <v>806</v>
      </c>
      <c r="G151" s="90" t="s">
        <v>805</v>
      </c>
      <c r="H151" s="96" t="n">
        <v>1</v>
      </c>
      <c r="I151" s="73" t="s">
        <v>806</v>
      </c>
    </row>
    <row r="152" customFormat="false" ht="15" hidden="false" customHeight="true" outlineLevel="0" collapsed="false">
      <c r="A152" s="18" t="s">
        <v>144</v>
      </c>
      <c r="B152" s="19" t="s">
        <v>984</v>
      </c>
      <c r="C152" s="100" t="s">
        <v>142</v>
      </c>
      <c r="D152" s="77" t="s">
        <v>917</v>
      </c>
      <c r="E152" s="20" t="s">
        <v>809</v>
      </c>
      <c r="F152" s="88" t="s">
        <v>806</v>
      </c>
      <c r="G152" s="18" t="s">
        <v>805</v>
      </c>
      <c r="H152" s="21" t="n">
        <v>1</v>
      </c>
      <c r="I152" s="73" t="s">
        <v>806</v>
      </c>
    </row>
    <row r="153" customFormat="false" ht="15" hidden="false" customHeight="true" outlineLevel="0" collapsed="false">
      <c r="A153" s="11" t="s">
        <v>145</v>
      </c>
      <c r="B153" s="12" t="s">
        <v>985</v>
      </c>
      <c r="C153" s="99" t="s">
        <v>142</v>
      </c>
      <c r="D153" s="75" t="s">
        <v>917</v>
      </c>
      <c r="E153" s="13" t="s">
        <v>809</v>
      </c>
      <c r="F153" s="87" t="s">
        <v>806</v>
      </c>
      <c r="G153" s="89" t="s">
        <v>806</v>
      </c>
      <c r="H153" s="15" t="n">
        <v>1</v>
      </c>
      <c r="I153" s="73" t="s">
        <v>806</v>
      </c>
    </row>
    <row r="154" customFormat="false" ht="15" hidden="false" customHeight="true" outlineLevel="0" collapsed="false">
      <c r="A154" s="18" t="s">
        <v>146</v>
      </c>
      <c r="B154" s="19" t="s">
        <v>986</v>
      </c>
      <c r="C154" s="100" t="s">
        <v>142</v>
      </c>
      <c r="D154" s="77" t="s">
        <v>917</v>
      </c>
      <c r="E154" s="20" t="s">
        <v>809</v>
      </c>
      <c r="F154" s="88" t="s">
        <v>806</v>
      </c>
      <c r="G154" s="18" t="s">
        <v>805</v>
      </c>
      <c r="H154" s="21" t="n">
        <v>2</v>
      </c>
      <c r="I154" s="73" t="s">
        <v>806</v>
      </c>
    </row>
    <row r="155" customFormat="false" ht="15" hidden="false" customHeight="true" outlineLevel="0" collapsed="false">
      <c r="A155" s="11" t="s">
        <v>134</v>
      </c>
      <c r="B155" s="12" t="s">
        <v>987</v>
      </c>
      <c r="C155" s="99" t="s">
        <v>132</v>
      </c>
      <c r="D155" s="75" t="s">
        <v>962</v>
      </c>
      <c r="E155" s="13" t="s">
        <v>809</v>
      </c>
      <c r="F155" s="87" t="s">
        <v>806</v>
      </c>
      <c r="G155" s="11" t="s">
        <v>805</v>
      </c>
      <c r="H155" s="15" t="n">
        <v>2</v>
      </c>
      <c r="I155" s="73" t="s">
        <v>806</v>
      </c>
    </row>
    <row r="156" customFormat="false" ht="15" hidden="false" customHeight="true" outlineLevel="0" collapsed="false">
      <c r="A156" s="18" t="s">
        <v>135</v>
      </c>
      <c r="B156" s="19" t="s">
        <v>988</v>
      </c>
      <c r="C156" s="100" t="s">
        <v>132</v>
      </c>
      <c r="D156" s="77" t="s">
        <v>962</v>
      </c>
      <c r="E156" s="20" t="s">
        <v>809</v>
      </c>
      <c r="F156" s="88" t="s">
        <v>806</v>
      </c>
      <c r="G156" s="86" t="s">
        <v>806</v>
      </c>
      <c r="H156" s="21" t="n">
        <v>3</v>
      </c>
      <c r="I156" s="73" t="s">
        <v>806</v>
      </c>
    </row>
    <row r="157" customFormat="false" ht="15" hidden="false" customHeight="true" outlineLevel="0" collapsed="false">
      <c r="A157" s="90" t="s">
        <v>246</v>
      </c>
      <c r="B157" s="91" t="s">
        <v>989</v>
      </c>
      <c r="C157" s="98" t="s">
        <v>243</v>
      </c>
      <c r="D157" s="93" t="s">
        <v>814</v>
      </c>
      <c r="E157" s="94" t="s">
        <v>824</v>
      </c>
      <c r="F157" s="97" t="s">
        <v>806</v>
      </c>
      <c r="G157" s="90" t="s">
        <v>805</v>
      </c>
      <c r="H157" s="96" t="n">
        <v>1</v>
      </c>
      <c r="I157" s="101" t="s">
        <v>990</v>
      </c>
    </row>
    <row r="158" customFormat="false" ht="15" hidden="false" customHeight="true" outlineLevel="0" collapsed="false">
      <c r="A158" s="90" t="s">
        <v>249</v>
      </c>
      <c r="B158" s="91" t="s">
        <v>991</v>
      </c>
      <c r="C158" s="98" t="s">
        <v>243</v>
      </c>
      <c r="D158" s="93" t="s">
        <v>721</v>
      </c>
      <c r="E158" s="94" t="s">
        <v>804</v>
      </c>
      <c r="F158" s="97" t="s">
        <v>806</v>
      </c>
      <c r="G158" s="90" t="s">
        <v>805</v>
      </c>
      <c r="H158" s="96" t="n">
        <v>1</v>
      </c>
      <c r="I158" s="101" t="s">
        <v>990</v>
      </c>
    </row>
    <row r="159" customFormat="false" ht="15" hidden="false" customHeight="true" outlineLevel="0" collapsed="false">
      <c r="A159" s="90" t="s">
        <v>448</v>
      </c>
      <c r="B159" s="91" t="s">
        <v>992</v>
      </c>
      <c r="C159" s="98" t="s">
        <v>243</v>
      </c>
      <c r="D159" s="93" t="s">
        <v>721</v>
      </c>
      <c r="E159" s="94" t="s">
        <v>804</v>
      </c>
      <c r="F159" s="90" t="s">
        <v>805</v>
      </c>
      <c r="G159" s="95" t="s">
        <v>806</v>
      </c>
      <c r="H159" s="96" t="n">
        <v>1</v>
      </c>
      <c r="I159" s="101" t="s">
        <v>990</v>
      </c>
    </row>
    <row r="160" customFormat="false" ht="15" hidden="false" customHeight="true" outlineLevel="0" collapsed="false">
      <c r="A160" s="90" t="s">
        <v>253</v>
      </c>
      <c r="B160" s="91" t="s">
        <v>993</v>
      </c>
      <c r="C160" s="98" t="s">
        <v>243</v>
      </c>
      <c r="D160" s="93" t="s">
        <v>721</v>
      </c>
      <c r="E160" s="94" t="s">
        <v>850</v>
      </c>
      <c r="F160" s="97" t="s">
        <v>806</v>
      </c>
      <c r="G160" s="95" t="s">
        <v>806</v>
      </c>
      <c r="H160" s="96" t="n">
        <v>5</v>
      </c>
      <c r="I160" s="101" t="s">
        <v>990</v>
      </c>
    </row>
    <row r="161" customFormat="false" ht="15" hidden="false" customHeight="true" outlineLevel="0" collapsed="false">
      <c r="A161" s="90" t="s">
        <v>255</v>
      </c>
      <c r="B161" s="91" t="s">
        <v>994</v>
      </c>
      <c r="C161" s="98" t="s">
        <v>243</v>
      </c>
      <c r="D161" s="93" t="s">
        <v>721</v>
      </c>
      <c r="E161" s="94" t="s">
        <v>804</v>
      </c>
      <c r="F161" s="97" t="s">
        <v>806</v>
      </c>
      <c r="G161" s="90" t="s">
        <v>805</v>
      </c>
      <c r="H161" s="96" t="n">
        <v>2</v>
      </c>
      <c r="I161" s="101" t="s">
        <v>990</v>
      </c>
    </row>
    <row r="162" customFormat="false" ht="15" hidden="false" customHeight="true" outlineLevel="0" collapsed="false">
      <c r="A162" s="90" t="s">
        <v>284</v>
      </c>
      <c r="B162" s="91" t="s">
        <v>995</v>
      </c>
      <c r="C162" s="98" t="s">
        <v>243</v>
      </c>
      <c r="D162" s="93" t="s">
        <v>836</v>
      </c>
      <c r="E162" s="94" t="s">
        <v>996</v>
      </c>
      <c r="F162" s="97" t="s">
        <v>806</v>
      </c>
      <c r="G162" s="95" t="s">
        <v>806</v>
      </c>
      <c r="H162" s="96" t="n">
        <v>36</v>
      </c>
      <c r="I162" s="101" t="s">
        <v>990</v>
      </c>
    </row>
    <row r="163" customFormat="false" ht="15" hidden="false" customHeight="true" outlineLevel="0" collapsed="false">
      <c r="A163" s="18" t="s">
        <v>123</v>
      </c>
      <c r="B163" s="19" t="s">
        <v>997</v>
      </c>
      <c r="C163" s="100" t="s">
        <v>120</v>
      </c>
      <c r="D163" s="77" t="s">
        <v>962</v>
      </c>
      <c r="E163" s="20" t="s">
        <v>809</v>
      </c>
      <c r="F163" s="88" t="s">
        <v>806</v>
      </c>
      <c r="G163" s="86" t="s">
        <v>806</v>
      </c>
      <c r="H163" s="21" t="n">
        <v>3</v>
      </c>
      <c r="I163" s="73" t="s">
        <v>806</v>
      </c>
    </row>
    <row r="164" customFormat="false" ht="15" hidden="false" customHeight="true" outlineLevel="0" collapsed="false">
      <c r="A164" s="11" t="s">
        <v>125</v>
      </c>
      <c r="B164" s="12" t="s">
        <v>998</v>
      </c>
      <c r="C164" s="99" t="s">
        <v>120</v>
      </c>
      <c r="D164" s="75" t="s">
        <v>962</v>
      </c>
      <c r="E164" s="13" t="s">
        <v>809</v>
      </c>
      <c r="F164" s="87" t="s">
        <v>806</v>
      </c>
      <c r="G164" s="11" t="s">
        <v>805</v>
      </c>
      <c r="H164" s="15" t="n">
        <v>1</v>
      </c>
      <c r="I164" s="73" t="s">
        <v>806</v>
      </c>
    </row>
    <row r="165" customFormat="false" ht="15" hidden="false" customHeight="true" outlineLevel="0" collapsed="false">
      <c r="A165" s="18" t="s">
        <v>126</v>
      </c>
      <c r="B165" s="19" t="s">
        <v>999</v>
      </c>
      <c r="C165" s="83" t="s">
        <v>120</v>
      </c>
      <c r="D165" s="77" t="s">
        <v>962</v>
      </c>
      <c r="E165" s="20" t="s">
        <v>809</v>
      </c>
      <c r="F165" s="88" t="s">
        <v>806</v>
      </c>
      <c r="G165" s="18" t="s">
        <v>805</v>
      </c>
      <c r="H165" s="21" t="n">
        <v>1</v>
      </c>
      <c r="I165" s="73" t="s">
        <v>806</v>
      </c>
    </row>
    <row r="166" customFormat="false" ht="15" hidden="false" customHeight="true" outlineLevel="0" collapsed="false">
      <c r="A166" s="11" t="s">
        <v>130</v>
      </c>
      <c r="B166" s="12" t="s">
        <v>1000</v>
      </c>
      <c r="C166" s="82" t="s">
        <v>128</v>
      </c>
      <c r="D166" s="75" t="s">
        <v>808</v>
      </c>
      <c r="E166" s="13" t="s">
        <v>809</v>
      </c>
      <c r="F166" s="87" t="s">
        <v>806</v>
      </c>
      <c r="G166" s="89" t="s">
        <v>806</v>
      </c>
      <c r="H166" s="15" t="n">
        <v>4</v>
      </c>
      <c r="I166" s="73" t="s">
        <v>806</v>
      </c>
    </row>
    <row r="167" customFormat="false" ht="15" hidden="false" customHeight="true" outlineLevel="0" collapsed="false">
      <c r="A167" s="18" t="s">
        <v>139</v>
      </c>
      <c r="B167" s="19" t="s">
        <v>1001</v>
      </c>
      <c r="C167" s="83" t="s">
        <v>136</v>
      </c>
      <c r="D167" s="77" t="s">
        <v>917</v>
      </c>
      <c r="E167" s="20" t="s">
        <v>809</v>
      </c>
      <c r="F167" s="88" t="s">
        <v>806</v>
      </c>
      <c r="G167" s="18" t="s">
        <v>805</v>
      </c>
      <c r="H167" s="21" t="n">
        <v>1</v>
      </c>
      <c r="I167" s="73" t="s">
        <v>806</v>
      </c>
    </row>
    <row r="168" customFormat="false" ht="15" hidden="false" customHeight="true" outlineLevel="0" collapsed="false">
      <c r="A168" s="11" t="s">
        <v>140</v>
      </c>
      <c r="B168" s="12" t="s">
        <v>1002</v>
      </c>
      <c r="C168" s="82" t="s">
        <v>136</v>
      </c>
      <c r="D168" s="75" t="s">
        <v>917</v>
      </c>
      <c r="E168" s="13" t="s">
        <v>809</v>
      </c>
      <c r="F168" s="87" t="s">
        <v>806</v>
      </c>
      <c r="G168" s="11" t="s">
        <v>805</v>
      </c>
      <c r="H168" s="15" t="n">
        <v>1</v>
      </c>
      <c r="I168" s="73" t="s">
        <v>806</v>
      </c>
    </row>
    <row r="169" customFormat="false" ht="15" hidden="false" customHeight="true" outlineLevel="0" collapsed="false">
      <c r="A169" s="18" t="s">
        <v>141</v>
      </c>
      <c r="B169" s="19" t="s">
        <v>1003</v>
      </c>
      <c r="C169" s="83" t="s">
        <v>136</v>
      </c>
      <c r="D169" s="77" t="s">
        <v>917</v>
      </c>
      <c r="E169" s="20" t="s">
        <v>809</v>
      </c>
      <c r="F169" s="88" t="s">
        <v>806</v>
      </c>
      <c r="G169" s="18" t="s">
        <v>805</v>
      </c>
      <c r="H169" s="21" t="n">
        <v>1</v>
      </c>
      <c r="I169" s="73" t="s">
        <v>806</v>
      </c>
    </row>
    <row r="170" customFormat="false" ht="15" hidden="false" customHeight="true" outlineLevel="0" collapsed="false">
      <c r="A170" s="90" t="s">
        <v>250</v>
      </c>
      <c r="B170" s="91" t="s">
        <v>1004</v>
      </c>
      <c r="C170" s="92" t="s">
        <v>148</v>
      </c>
      <c r="D170" s="93" t="s">
        <v>721</v>
      </c>
      <c r="E170" s="94" t="s">
        <v>804</v>
      </c>
      <c r="F170" s="97" t="s">
        <v>806</v>
      </c>
      <c r="G170" s="90" t="s">
        <v>805</v>
      </c>
      <c r="H170" s="96" t="n">
        <v>1</v>
      </c>
      <c r="I170" s="73" t="s">
        <v>806</v>
      </c>
    </row>
    <row r="171" customFormat="false" ht="15" hidden="false" customHeight="true" outlineLevel="0" collapsed="false">
      <c r="A171" s="90" t="s">
        <v>275</v>
      </c>
      <c r="B171" s="91" t="s">
        <v>1005</v>
      </c>
      <c r="C171" s="92" t="s">
        <v>148</v>
      </c>
      <c r="D171" s="93" t="s">
        <v>721</v>
      </c>
      <c r="E171" s="94" t="s">
        <v>1006</v>
      </c>
      <c r="F171" s="97" t="s">
        <v>806</v>
      </c>
      <c r="G171" s="90" t="s">
        <v>805</v>
      </c>
      <c r="H171" s="96" t="n">
        <v>1</v>
      </c>
      <c r="I171" s="73" t="s">
        <v>806</v>
      </c>
    </row>
    <row r="172" customFormat="false" ht="15" hidden="false" customHeight="true" outlineLevel="0" collapsed="false">
      <c r="A172" s="11" t="s">
        <v>150</v>
      </c>
      <c r="B172" s="12" t="s">
        <v>1007</v>
      </c>
      <c r="C172" s="82" t="s">
        <v>148</v>
      </c>
      <c r="D172" s="75" t="s">
        <v>814</v>
      </c>
      <c r="E172" s="13" t="s">
        <v>804</v>
      </c>
      <c r="F172" s="87" t="s">
        <v>806</v>
      </c>
      <c r="G172" s="11" t="s">
        <v>805</v>
      </c>
      <c r="H172" s="15" t="n">
        <v>1</v>
      </c>
      <c r="I172" s="73" t="s">
        <v>806</v>
      </c>
    </row>
  </sheetData>
  <autoFilter ref="A3:I3">
    <sortState ref="A4:I3">
      <sortCondition ref="A4:A3" customList=""/>
    </sortState>
  </autoFilter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2026-04-09T23:54:08Z</dcterms:created>
  <dc:creator>openpyxl</dc:creator>
  <dc:description/>
  <dc:language>en-US</dc:language>
  <cp:lastModifiedBy>Ryan Yang</cp:lastModifiedBy>
  <dcterms:modified xsi:type="dcterms:W3CDTF">2026-04-10T18:11:27Z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